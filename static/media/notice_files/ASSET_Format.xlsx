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91904\Desktop\"/>
    </mc:Choice>
  </mc:AlternateContent>
  <xr:revisionPtr revIDLastSave="0" documentId="13_ncr:1_{3F96C567-2226-497E-ABAA-33E1285B539E}" xr6:coauthVersionLast="47" xr6:coauthVersionMax="47" xr10:uidLastSave="{00000000-0000-0000-0000-000000000000}"/>
  <bookViews>
    <workbookView xWindow="-108" yWindow="-108" windowWidth="23256" windowHeight="12456" tabRatio="893" activeTab="4" xr2:uid="{00000000-000D-0000-FFFF-FFFF00000000}"/>
  </bookViews>
  <sheets>
    <sheet name="AGI-ACE(Ground Floor)" sheetId="1" r:id="rId1"/>
    <sheet name="AGI-ACE(First Floor) " sheetId="21" r:id="rId2"/>
    <sheet name="Sheet2" sheetId="25" r:id="rId3"/>
    <sheet name="Sheet1" sheetId="22" r:id="rId4"/>
    <sheet name="Sheet3" sheetId="24" r:id="rId5"/>
    <sheet name="Server" sheetId="8" r:id="rId6"/>
    <sheet name="Laptop" sheetId="4" r:id="rId7"/>
    <sheet name="school" sheetId="2" r:id="rId8"/>
    <sheet name="Smart class room" sheetId="5" r:id="rId9"/>
    <sheet name="ICT Lab" sheetId="6" r:id="rId10"/>
    <sheet name="Printer" sheetId="20" r:id="rId11"/>
    <sheet name="Stem Lab" sheetId="7" r:id="rId12"/>
    <sheet name="Projectors" sheetId="3" r:id="rId13"/>
    <sheet name="speaker" sheetId="10" r:id="rId14"/>
    <sheet name="Smart board and Screen" sheetId="18" r:id="rId15"/>
    <sheet name="ups" sheetId="11" r:id="rId16"/>
    <sheet name="Network Switch" sheetId="12" r:id="rId17"/>
    <sheet name="CCTV " sheetId="13" r:id="rId18"/>
    <sheet name="Vendor" sheetId="14" r:id="rId19"/>
    <sheet name="Under Service and Scrab" sheetId="15" r:id="rId20"/>
    <sheet name="AGI Mobiles" sheetId="17" r:id="rId21"/>
  </sheets>
  <definedNames>
    <definedName name="_xlnm._FilterDatabase" localSheetId="1" hidden="1">'AGI-ACE(First Floor) '!$E$1:$E$2</definedName>
    <definedName name="_xlnm._FilterDatabase" localSheetId="0" hidden="1">'AGI-ACE(Ground Floor)'!$E$1:$E$3</definedName>
    <definedName name="_xlnm._FilterDatabase" localSheetId="12" hidden="1">Projectors!$D$2:$D$3</definedName>
    <definedName name="_xlnm._FilterDatabase" localSheetId="7" hidden="1">school!$E$1:$E$6</definedName>
    <definedName name="_xlnm._FilterDatabase" localSheetId="5" hidden="1">Server!$S$1:$S$9</definedName>
    <definedName name="_xlnm._FilterDatabase" localSheetId="2" hidden="1">Sheet2!$A$3:$O$39</definedName>
    <definedName name="_xlnm._FilterDatabase" localSheetId="14" hidden="1">'Smart board and Screen'!$E$1:$E$3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3" i="25" l="1"/>
  <c r="E28" i="24"/>
  <c r="D28" i="24"/>
  <c r="C28" i="24"/>
  <c r="D74" i="22"/>
  <c r="D73" i="22"/>
  <c r="K17" i="22"/>
</calcChain>
</file>

<file path=xl/sharedStrings.xml><?xml version="1.0" encoding="utf-8"?>
<sst xmlns="http://schemas.openxmlformats.org/spreadsheetml/2006/main" count="3086" uniqueCount="1104">
  <si>
    <t>ALPHA-CIT NAGAR- IT ASSET DETAILS</t>
  </si>
  <si>
    <t>Asset Tag ID</t>
  </si>
  <si>
    <t>S/N</t>
  </si>
  <si>
    <t>Host Name</t>
  </si>
  <si>
    <t>User Name</t>
  </si>
  <si>
    <t>Department</t>
  </si>
  <si>
    <t>Asset Type</t>
  </si>
  <si>
    <t>Model</t>
  </si>
  <si>
    <t>Brand</t>
  </si>
  <si>
    <t>Mother Board</t>
  </si>
  <si>
    <t>Serial No</t>
  </si>
  <si>
    <t>Monitor Brand</t>
  </si>
  <si>
    <t>Monitor Serial No</t>
  </si>
  <si>
    <t>Processor</t>
  </si>
  <si>
    <t>RAM Size</t>
  </si>
  <si>
    <t>Hard Drive Size</t>
  </si>
  <si>
    <t>Operating System</t>
  </si>
  <si>
    <t>Location</t>
  </si>
  <si>
    <t>Status</t>
  </si>
  <si>
    <t>Remarks</t>
  </si>
  <si>
    <t>Desktop</t>
  </si>
  <si>
    <t>Acer</t>
  </si>
  <si>
    <t>Intel Pentium</t>
  </si>
  <si>
    <t>4GB</t>
  </si>
  <si>
    <t>ADMIN OFFICE</t>
  </si>
  <si>
    <t>HCL</t>
  </si>
  <si>
    <t>Windows 7</t>
  </si>
  <si>
    <t>-</t>
  </si>
  <si>
    <t>500GB</t>
  </si>
  <si>
    <t>G31M-ES2L</t>
  </si>
  <si>
    <t>2GB</t>
  </si>
  <si>
    <t>1TB</t>
  </si>
  <si>
    <t>Dell</t>
  </si>
  <si>
    <t>SMART CLASS</t>
  </si>
  <si>
    <t>Projector</t>
  </si>
  <si>
    <t>CBSE BLOCK</t>
  </si>
  <si>
    <t>AGICIT-CLASSEDGE01</t>
  </si>
  <si>
    <t>2640900EE</t>
  </si>
  <si>
    <t>Class Room no</t>
  </si>
  <si>
    <t>F1</t>
  </si>
  <si>
    <t>NEC V260</t>
  </si>
  <si>
    <t xml:space="preserve">OK For Short Distance </t>
  </si>
  <si>
    <t>AGICIT-CLASSEDGE</t>
  </si>
  <si>
    <t xml:space="preserve"> CLASSEDGE</t>
  </si>
  <si>
    <t>Vendor Name</t>
  </si>
  <si>
    <t>Lamp issue</t>
  </si>
  <si>
    <t>AGICIT/BDC/LAP-001</t>
  </si>
  <si>
    <t>BDC</t>
  </si>
  <si>
    <t>Laptop</t>
  </si>
  <si>
    <t>Lenovo V15</t>
  </si>
  <si>
    <t>PF2T3QS1</t>
  </si>
  <si>
    <t>I3(10th gen)</t>
  </si>
  <si>
    <t>New Laptop Purchase Date :16/09/2021 Hr Manager Used laptop given to Devananth</t>
  </si>
  <si>
    <t>HDD SIZE</t>
  </si>
  <si>
    <t>Veriton M200-H81</t>
  </si>
  <si>
    <t>Server</t>
  </si>
  <si>
    <t>UXVJSSIH72F2210379</t>
  </si>
  <si>
    <t xml:space="preserve"> CIT- CBSE BLOCK</t>
  </si>
  <si>
    <t>Class Room No</t>
  </si>
  <si>
    <t>ALPHA - CIT NAGAR - CBSE SMART CLASS - IT ASSET DETAILS</t>
  </si>
  <si>
    <t>SCHOOL OFFICE</t>
  </si>
  <si>
    <t>UXVJSSIV70G0967673</t>
  </si>
  <si>
    <t>MATRIC</t>
  </si>
  <si>
    <t>UXVJSSIV70G0967548</t>
  </si>
  <si>
    <t>500 GB</t>
  </si>
  <si>
    <t>Printer</t>
  </si>
  <si>
    <t>LBP2900</t>
  </si>
  <si>
    <t>Sno</t>
  </si>
  <si>
    <t>Asset tag Monitor</t>
  </si>
  <si>
    <t>Keyboard</t>
  </si>
  <si>
    <t xml:space="preserve"> Asset tag Keyboard</t>
  </si>
  <si>
    <t>Mouse</t>
  </si>
  <si>
    <t>Asset tag Mouse</t>
  </si>
  <si>
    <t>Zero Client</t>
  </si>
  <si>
    <t>Asset tag Zero Client</t>
  </si>
  <si>
    <t>User name</t>
  </si>
  <si>
    <t>ASCIT/ICTLAB/MON/001</t>
  </si>
  <si>
    <t>CN09RYY0PRC0022PB12D</t>
  </si>
  <si>
    <t>ASCIT/ICTLAB/KB/001</t>
  </si>
  <si>
    <t>CN05NT8RPRC0023527S0</t>
  </si>
  <si>
    <t>ASCIT/ICTLAB/MOU/001</t>
  </si>
  <si>
    <t>A6-8QVJ-5174</t>
  </si>
  <si>
    <t>ASCIT/ICTLAB/ZC/001</t>
  </si>
  <si>
    <t>ICT-LAB01</t>
  </si>
  <si>
    <t>AGICIT-STEM01</t>
  </si>
  <si>
    <t>STEM LAB</t>
  </si>
  <si>
    <t>ALPHA-CIT NAGAR- SERVER DETAILS</t>
  </si>
  <si>
    <t xml:space="preserve"> </t>
  </si>
  <si>
    <t>Monitor Model</t>
  </si>
  <si>
    <t>Keyboard Model</t>
  </si>
  <si>
    <t>HP</t>
  </si>
  <si>
    <t>SGHI36X428</t>
  </si>
  <si>
    <t>AGICIT-CLASSEDGE16</t>
  </si>
  <si>
    <t>Mouse Model</t>
  </si>
  <si>
    <t>keyboard Model</t>
  </si>
  <si>
    <t>Ups Model</t>
  </si>
  <si>
    <t>Projector Model</t>
  </si>
  <si>
    <t>Hp Proliant ml110-G6</t>
  </si>
  <si>
    <t>Numeric</t>
  </si>
  <si>
    <t>II150402783</t>
  </si>
  <si>
    <t>5170193CK701</t>
  </si>
  <si>
    <t>51500E5DK701</t>
  </si>
  <si>
    <t>Speaker Model</t>
  </si>
  <si>
    <t>1537AS00832</t>
  </si>
  <si>
    <t>Iball 4.1</t>
  </si>
  <si>
    <t xml:space="preserve">Ups not working </t>
  </si>
  <si>
    <t>S NO</t>
  </si>
  <si>
    <t>BRAND</t>
  </si>
  <si>
    <t>CONFIGURATION</t>
  </si>
  <si>
    <t>QuickHeal Seqrite</t>
  </si>
  <si>
    <t>Admin Office II Floor</t>
  </si>
  <si>
    <t>Firewall device</t>
  </si>
  <si>
    <t>CISCO</t>
  </si>
  <si>
    <t>SATATYA-CIBR13FL40CW</t>
  </si>
  <si>
    <t>HVR  Device</t>
  </si>
  <si>
    <t>IP/Analog</t>
  </si>
  <si>
    <t xml:space="preserve">Remarks </t>
  </si>
  <si>
    <t>Director Room</t>
  </si>
  <si>
    <t>HVR</t>
  </si>
  <si>
    <t>Working</t>
  </si>
  <si>
    <t>MODEL:     SATATYA-CIBR13FL40CW</t>
  </si>
  <si>
    <t>S/N:     576694522</t>
  </si>
  <si>
    <t>Ups not working + projector dull</t>
  </si>
  <si>
    <t>ALPHA - CIT NAGAR  - IT ASSET DETAILS</t>
  </si>
  <si>
    <t>White Board</t>
  </si>
  <si>
    <t>Type of Screen</t>
  </si>
  <si>
    <t>IR Pen is not Working</t>
  </si>
  <si>
    <t>CNOC645N7161638602GJA00</t>
  </si>
  <si>
    <t>CN005WCAL030079D02TT</t>
  </si>
  <si>
    <t>MMT3FSS00752002FCCH205</t>
  </si>
  <si>
    <t>ZESRIGL0081805719</t>
  </si>
  <si>
    <t>Iball usb Speaker 2 usb model</t>
  </si>
  <si>
    <t>MBGA579989</t>
  </si>
  <si>
    <t xml:space="preserve"> PRINTER01(Leena)</t>
  </si>
  <si>
    <t>MMLTYSS007607055584207</t>
  </si>
  <si>
    <t>BAUJQ01VBZR0DU</t>
  </si>
  <si>
    <t>5170312CK701</t>
  </si>
  <si>
    <t>160 GB</t>
  </si>
  <si>
    <t xml:space="preserve"> CBSE-Principal01</t>
  </si>
  <si>
    <t>5095BG265094</t>
  </si>
  <si>
    <t>313A1309392</t>
  </si>
  <si>
    <t>Monitor</t>
  </si>
  <si>
    <t>Not Working no display</t>
  </si>
  <si>
    <t>C0904016747</t>
  </si>
  <si>
    <t>Some keys are not Working</t>
  </si>
  <si>
    <t>CN005WCAL030084N0VTH</t>
  </si>
  <si>
    <t>AGI - Vendor Contact Details</t>
  </si>
  <si>
    <t xml:space="preserve">Vendors </t>
  </si>
  <si>
    <t xml:space="preserve">Name </t>
  </si>
  <si>
    <t>Contact Number</t>
  </si>
  <si>
    <t xml:space="preserve">Tata Edge Class </t>
  </si>
  <si>
    <t xml:space="preserve">Sesha </t>
  </si>
  <si>
    <t>Extra-Mark</t>
  </si>
  <si>
    <t>Siva</t>
  </si>
  <si>
    <t>AGI MOBILE DETAILS WITH USER WISE</t>
  </si>
  <si>
    <r>
      <rPr>
        <b/>
        <sz val="11"/>
        <rFont val="Carlito"/>
        <family val="2"/>
      </rPr>
      <t>Unit</t>
    </r>
  </si>
  <si>
    <r>
      <rPr>
        <b/>
        <sz val="11"/>
        <rFont val="Carlito"/>
        <family val="2"/>
      </rPr>
      <t>User Details</t>
    </r>
  </si>
  <si>
    <r>
      <rPr>
        <b/>
        <sz val="11"/>
        <rFont val="Carlito"/>
        <family val="2"/>
      </rPr>
      <t>ISP</t>
    </r>
  </si>
  <si>
    <r>
      <rPr>
        <b/>
        <sz val="11"/>
        <rFont val="Carlito"/>
        <family val="2"/>
      </rPr>
      <t>Mobile No</t>
    </r>
  </si>
  <si>
    <t>Device</t>
  </si>
  <si>
    <r>
      <rPr>
        <sz val="11"/>
        <rFont val="Carlito"/>
        <family val="2"/>
      </rPr>
      <t>CIT - Admin</t>
    </r>
  </si>
  <si>
    <t xml:space="preserve"> HR Manager (Voice)</t>
  </si>
  <si>
    <r>
      <rPr>
        <sz val="11"/>
        <rFont val="Carlito"/>
        <family val="2"/>
      </rPr>
      <t>Airtel</t>
    </r>
  </si>
  <si>
    <r>
      <rPr>
        <sz val="11"/>
        <rFont val="Carlito"/>
        <family val="2"/>
      </rPr>
      <t>Personal Mobile</t>
    </r>
  </si>
  <si>
    <t>Official Jio Phone Not Able to Use</t>
  </si>
  <si>
    <r>
      <rPr>
        <sz val="11"/>
        <rFont val="Carlito"/>
        <family val="2"/>
      </rPr>
      <t>Keerthana HR (Voice)</t>
    </r>
  </si>
  <si>
    <t>Official  Phone Not Able to Use</t>
  </si>
  <si>
    <r>
      <rPr>
        <sz val="11"/>
        <rFont val="Carlito"/>
        <family val="2"/>
      </rPr>
      <t>ACE</t>
    </r>
  </si>
  <si>
    <r>
      <rPr>
        <sz val="11"/>
        <rFont val="Carlito"/>
        <family val="2"/>
      </rPr>
      <t>SrinivasRao ACE - Director</t>
    </r>
  </si>
  <si>
    <t>Official Jio Phone -IT CIT</t>
  </si>
  <si>
    <r>
      <rPr>
        <sz val="11"/>
        <rFont val="Carlito"/>
        <family val="2"/>
      </rPr>
      <t>CIT</t>
    </r>
  </si>
  <si>
    <r>
      <rPr>
        <sz val="11"/>
        <rFont val="Carlito"/>
        <family val="2"/>
      </rPr>
      <t>Cit Nagar Store Revathi Mam</t>
    </r>
  </si>
  <si>
    <r>
      <rPr>
        <sz val="11"/>
        <rFont val="Carlito"/>
        <family val="2"/>
      </rPr>
      <t>CIT - Cambridge</t>
    </r>
  </si>
  <si>
    <r>
      <rPr>
        <sz val="11"/>
        <rFont val="Carlito"/>
        <family val="2"/>
      </rPr>
      <t>Admisssion CIT nagar  (Voice)-Shabhana</t>
    </r>
  </si>
  <si>
    <r>
      <rPr>
        <sz val="11"/>
        <rFont val="Carlito"/>
        <family val="2"/>
      </rPr>
      <t>AIS SEM</t>
    </r>
  </si>
  <si>
    <t>AIS SEM VOICE -Principal PA</t>
  </si>
  <si>
    <t>Official Jio Phone No Able to Use</t>
  </si>
  <si>
    <r>
      <rPr>
        <sz val="11"/>
        <rFont val="Carlito"/>
        <family val="2"/>
      </rPr>
      <t>CP MADAM</t>
    </r>
  </si>
  <si>
    <r>
      <rPr>
        <sz val="11"/>
        <rFont val="Carlito"/>
        <family val="2"/>
      </rPr>
      <t>AASC</t>
    </r>
  </si>
  <si>
    <r>
      <rPr>
        <sz val="11"/>
        <rFont val="Carlito"/>
        <family val="2"/>
      </rPr>
      <t>AASC (DESK)</t>
    </r>
  </si>
  <si>
    <r>
      <rPr>
        <sz val="11"/>
        <rFont val="Carlito"/>
        <family val="2"/>
      </rPr>
      <t>Vodafone</t>
    </r>
  </si>
  <si>
    <t>Official Mobile</t>
  </si>
  <si>
    <r>
      <rPr>
        <sz val="11"/>
        <rFont val="Calibri"/>
        <family val="2"/>
        <scheme val="minor"/>
      </rPr>
      <t>Samsung (New) - 17-02-2021</t>
    </r>
  </si>
  <si>
    <t>CBSE Porur</t>
  </si>
  <si>
    <t>Admission</t>
  </si>
  <si>
    <t>Redmi 9A  Mobile WITH CHARGER S/N:28947/G1R547202, M-Tech (Old) Mobile NW</t>
  </si>
  <si>
    <r>
      <rPr>
        <sz val="11"/>
        <rFont val="Calibri"/>
        <family val="2"/>
        <scheme val="minor"/>
      </rPr>
      <t>Samsung (New) - 06-03-2020</t>
    </r>
  </si>
  <si>
    <r>
      <rPr>
        <sz val="11"/>
        <rFont val="Carlito"/>
        <family val="2"/>
      </rPr>
      <t>SEM</t>
    </r>
  </si>
  <si>
    <t>Sembakkam -Reception</t>
  </si>
  <si>
    <t>VCP PA (Voice)</t>
  </si>
  <si>
    <r>
      <rPr>
        <sz val="11"/>
        <rFont val="Calibri"/>
        <family val="2"/>
        <scheme val="minor"/>
      </rPr>
      <t>Samsung (New) - 06-01-2021</t>
    </r>
  </si>
  <si>
    <r>
      <rPr>
        <sz val="10"/>
        <rFont val="Carlito"/>
        <family val="2"/>
      </rPr>
      <t>Purchase Staff</t>
    </r>
  </si>
  <si>
    <t xml:space="preserve"> ACE Admimission (Voice)ACE  Principal )</t>
  </si>
  <si>
    <r>
      <rPr>
        <sz val="11"/>
        <rFont val="Calibri"/>
        <family val="2"/>
        <scheme val="minor"/>
      </rPr>
      <t>Panasonic(Old)</t>
    </r>
  </si>
  <si>
    <r>
      <rPr>
        <sz val="11"/>
        <rFont val="Carlito"/>
        <family val="2"/>
      </rPr>
      <t>AS Porur</t>
    </r>
  </si>
  <si>
    <r>
      <rPr>
        <b/>
        <sz val="11"/>
        <rFont val="Carlito"/>
        <family val="2"/>
      </rPr>
      <t>AS Porur - Principal (Data)</t>
    </r>
  </si>
  <si>
    <r>
      <rPr>
        <sz val="11"/>
        <rFont val="Carlito"/>
        <family val="2"/>
      </rPr>
      <t>Data Card</t>
    </r>
  </si>
  <si>
    <r>
      <rPr>
        <b/>
        <sz val="11"/>
        <rFont val="Carlito"/>
        <family val="2"/>
      </rPr>
      <t>Reena CIT  - Principal (Data)</t>
    </r>
  </si>
  <si>
    <r>
      <rPr>
        <b/>
        <sz val="11"/>
        <rFont val="Carlito"/>
        <family val="2"/>
      </rPr>
      <t>ACE - Principal   (Data)</t>
    </r>
  </si>
  <si>
    <r>
      <rPr>
        <b/>
        <sz val="11"/>
        <rFont val="Carlito"/>
        <family val="2"/>
      </rPr>
      <t>AASC - Principal  (Data)</t>
    </r>
  </si>
  <si>
    <r>
      <rPr>
        <b/>
        <sz val="11"/>
        <rFont val="Carlito"/>
        <family val="2"/>
      </rPr>
      <t>Ramani SEM - Principal (Data)</t>
    </r>
  </si>
  <si>
    <r>
      <rPr>
        <b/>
        <sz val="11"/>
        <rFont val="Carlito"/>
        <family val="2"/>
      </rPr>
      <t>Nalani SEM -  Principal (Data)</t>
    </r>
  </si>
  <si>
    <t xml:space="preserve"> VCP -PA (Standby -Datacard)</t>
  </si>
  <si>
    <r>
      <rPr>
        <sz val="11"/>
        <rFont val="Carlito"/>
        <family val="2"/>
      </rPr>
      <t>Configured to Landline</t>
    </r>
  </si>
  <si>
    <r>
      <rPr>
        <sz val="11"/>
        <rFont val="Carlito"/>
        <family val="2"/>
      </rPr>
      <t>ACE(DESK)</t>
    </r>
  </si>
  <si>
    <t>ACE</t>
  </si>
  <si>
    <t>MohanRaj NPF Counsellor</t>
  </si>
  <si>
    <t>Vodafone</t>
  </si>
  <si>
    <t>REDMI 5A</t>
  </si>
  <si>
    <t>Pradeepa  NPF Counsellor</t>
  </si>
  <si>
    <t>AIRTEL</t>
  </si>
  <si>
    <t>Rajesh  NPF Counsellor</t>
  </si>
  <si>
    <t>Personal SIM Card</t>
  </si>
  <si>
    <t>Kathiravan  NPF Counsellor</t>
  </si>
  <si>
    <t>Kavitha  NPF Counsellor</t>
  </si>
  <si>
    <t>Sujatha  NPF Counsellor</t>
  </si>
  <si>
    <t>REDMI NOTE 4</t>
  </si>
  <si>
    <t>Prasadh  NPF Counsellor</t>
  </si>
  <si>
    <t>SIM Handover to IT Person</t>
  </si>
  <si>
    <t>AASC</t>
  </si>
  <si>
    <t>Acadamic Coordinator Mrs.Vinitha</t>
  </si>
  <si>
    <t>REDMI Y1</t>
  </si>
  <si>
    <t>Admin-CIT</t>
  </si>
  <si>
    <t>Receptionist</t>
  </si>
  <si>
    <t>REDMI 5</t>
  </si>
  <si>
    <t>ACE(DESK)</t>
  </si>
  <si>
    <t>Configured to Landline</t>
  </si>
  <si>
    <t>No Mobile Phone</t>
  </si>
  <si>
    <t>CIT School</t>
  </si>
  <si>
    <t>Resourse</t>
  </si>
  <si>
    <t>Airtel</t>
  </si>
  <si>
    <t>Personal Mobile</t>
  </si>
  <si>
    <t>Admission Shabhana</t>
  </si>
  <si>
    <t>S.No</t>
  </si>
  <si>
    <t xml:space="preserve">Mouse Model </t>
  </si>
  <si>
    <t>Ubuntu os</t>
  </si>
  <si>
    <t>CN0C645N716163810LU7A00</t>
  </si>
  <si>
    <t>50205544K701</t>
  </si>
  <si>
    <t>TATA CLASSEDGE</t>
  </si>
  <si>
    <t>NEC</t>
  </si>
  <si>
    <t>MMLTYSS007607055B14207</t>
  </si>
  <si>
    <t>AGICIT- IT</t>
  </si>
  <si>
    <t xml:space="preserve">School </t>
  </si>
  <si>
    <t>AGICIT/SER/01</t>
  </si>
  <si>
    <t>ICT Lab</t>
  </si>
  <si>
    <t>AGICIT/LAP/01</t>
  </si>
  <si>
    <t>ASCIT/AS/0001</t>
  </si>
  <si>
    <t>ALPHA CIT NAGAR -  SCHOOL- IT ASSET DETAILS</t>
  </si>
  <si>
    <t>ALPHA CIT NAGAR - Admin block- IT ASSET DETAILS</t>
  </si>
  <si>
    <t>AGICIT/AS/0055</t>
  </si>
  <si>
    <t>ALPHA CIT NAGAR - ICT Lab - IT ASSET DETAILS</t>
  </si>
  <si>
    <t>ALPHA CIT NAGAR - CBSE SMART CLASS - IT ASSET DETAILS</t>
  </si>
  <si>
    <t>ALPHACIT NAGAR - Printer - IT ASSET DETAILS</t>
  </si>
  <si>
    <t>ASCIT/AS/001</t>
  </si>
  <si>
    <t>ALPHA CIT NAGAR-Stem Lab - IT ASSET DETAILS</t>
  </si>
  <si>
    <t>AGICIT/PRO/01</t>
  </si>
  <si>
    <t>ALPHA CIT NAGAR- IT ASSET DETAILS</t>
  </si>
  <si>
    <t>24port 1GB managed Switch</t>
  </si>
  <si>
    <t>ACE/ADM/001</t>
  </si>
  <si>
    <t>ACE/ADM/002</t>
  </si>
  <si>
    <t>ACE/ADM/003</t>
  </si>
  <si>
    <t>ACE/ADM/004</t>
  </si>
  <si>
    <t>ACE/ADM/005</t>
  </si>
  <si>
    <t>ACE/ADM/006</t>
  </si>
  <si>
    <t>ACE/ADM/007</t>
  </si>
  <si>
    <t>ACE/ADM/008</t>
  </si>
  <si>
    <t>ACE/ADM/009</t>
  </si>
  <si>
    <t>ACE/ADM/010</t>
  </si>
  <si>
    <t>ACE430</t>
  </si>
  <si>
    <t>ADMIN</t>
  </si>
  <si>
    <t>ASUSTek Compter InC.</t>
  </si>
  <si>
    <t>P5KPL-VM/S</t>
  </si>
  <si>
    <t>MS1CD95D2120630</t>
  </si>
  <si>
    <t>ACER V196HQL(18.5")</t>
  </si>
  <si>
    <t>ETLXNSS004312061C84200</t>
  </si>
  <si>
    <t>Intel Pentium Dual E2200</t>
  </si>
  <si>
    <t>3 GB</t>
  </si>
  <si>
    <t>160GB</t>
  </si>
  <si>
    <t>C1105519802</t>
  </si>
  <si>
    <t>CN-0X9DCG-71616-62D-02UC</t>
  </si>
  <si>
    <t>ACE365</t>
  </si>
  <si>
    <t>Gigabyte Technology Co., Ltd</t>
  </si>
  <si>
    <t>HCMEEWBD11(18.5")</t>
  </si>
  <si>
    <t>gigahertz Intel Pentium Dual-Core E5300</t>
  </si>
  <si>
    <t>ACE409</t>
  </si>
  <si>
    <t>n/a</t>
  </si>
  <si>
    <t>HCL Peripherals HCMDLWBT21</t>
  </si>
  <si>
    <t>5095BG265221</t>
  </si>
  <si>
    <t>American Megatrends Inc</t>
  </si>
  <si>
    <t> gigahertz Intel Pentium Dual E2180</t>
  </si>
  <si>
    <t>2 GB</t>
  </si>
  <si>
    <t>320GB</t>
  </si>
  <si>
    <t>C1105514648</t>
  </si>
  <si>
    <t>CN-0X9DCG-71616-62D-02TLC</t>
  </si>
  <si>
    <t>Zebronics</t>
  </si>
  <si>
    <t>ACE234</t>
  </si>
  <si>
    <t>GA-78LMT-S2</t>
  </si>
  <si>
    <t>5095BG265201</t>
  </si>
  <si>
    <t>Ggahertz AMD Sempron 145</t>
  </si>
  <si>
    <t>C0905015936</t>
  </si>
  <si>
    <t>CN-0X9DCG-71616-620-011</t>
  </si>
  <si>
    <t>erpserver</t>
  </si>
  <si>
    <t>Acer Veriton M200-H81 P21-A4</t>
  </si>
  <si>
    <t>Acer H81H3-M4 1.0</t>
  </si>
  <si>
    <t xml:space="preserve">Acer Veriton </t>
  </si>
  <si>
    <t>UXVJKSI124G3084454</t>
  </si>
  <si>
    <t>4095BG240943</t>
  </si>
  <si>
    <t>Intel Core i3-4170</t>
  </si>
  <si>
    <t>8GB</t>
  </si>
  <si>
    <t>Windows Server 2008 R2 Standard 64bit</t>
  </si>
  <si>
    <t>hp</t>
  </si>
  <si>
    <t>CN12290744</t>
  </si>
  <si>
    <t>acemanager</t>
  </si>
  <si>
    <t>HCL Infosystems Limited</t>
  </si>
  <si>
    <t xml:space="preserve">HCL </t>
  </si>
  <si>
    <t>ASUSTeK Computer INC P5KPL-VM/S</t>
  </si>
  <si>
    <t>MS1C95D21202335</t>
  </si>
  <si>
    <t>HP LV1911 [Monitor] (18.5")</t>
  </si>
  <si>
    <t>6CM2232PJB</t>
  </si>
  <si>
    <t>ACE425</t>
  </si>
  <si>
    <t>N/A</t>
  </si>
  <si>
    <t>Gigabyte Technology Co., Ltd. GA-78LMT-S2</t>
  </si>
  <si>
    <t>HP Compaq F191 [Monitor] (18.5")</t>
  </si>
  <si>
    <t>3CQ428086P</t>
  </si>
  <si>
    <t>gigahertz AMD Sempron 145</t>
  </si>
  <si>
    <t>CN-005WC4-L0300-B4N-0VGJ</t>
  </si>
  <si>
    <t>ACEADM006</t>
  </si>
  <si>
    <t>ACE/STR/001</t>
  </si>
  <si>
    <t>ACE/STR/002</t>
  </si>
  <si>
    <t>STORE2-PC</t>
  </si>
  <si>
    <t>ASUSTeK Computer INC. P5KPL-VM/S</t>
  </si>
  <si>
    <t>MS1C95D21202976</t>
  </si>
  <si>
    <t>5095BG265104</t>
  </si>
  <si>
    <t>C0806069321</t>
  </si>
  <si>
    <t>STORE</t>
  </si>
  <si>
    <t>STORE1-PC</t>
  </si>
  <si>
    <t>ECS G41T-M6 1.0</t>
  </si>
  <si>
    <t>7111AA913548</t>
  </si>
  <si>
    <t>HCL Peripherals HCMDLWBT21(15.3")</t>
  </si>
  <si>
    <t>5095BG265113</t>
  </si>
  <si>
    <t>4 GB</t>
  </si>
  <si>
    <t>LogiTech</t>
  </si>
  <si>
    <t>1316MGODY9UB</t>
  </si>
  <si>
    <t>CN-0G8VX8-PRC00-96T-0MT3</t>
  </si>
  <si>
    <t>ACE/EXAM/001</t>
  </si>
  <si>
    <t>ACE61</t>
  </si>
  <si>
    <t>MS1C95D21300035</t>
  </si>
  <si>
    <t> Intel Pentium Dual E2200</t>
  </si>
  <si>
    <t>HCL Peripherals HCMDLWBT21 (15.3)</t>
  </si>
  <si>
    <t>5095BG265242</t>
  </si>
  <si>
    <t>C0905033121</t>
  </si>
  <si>
    <t>EXAM DEPT</t>
  </si>
  <si>
    <t>ACE/EXAM/002</t>
  </si>
  <si>
    <t>ACE248</t>
  </si>
  <si>
    <t>EXAM</t>
  </si>
  <si>
    <t> ASUSTeK Computer INC. P5KPL-VM/S</t>
  </si>
  <si>
    <t>MS1C95D21202331</t>
  </si>
  <si>
    <t>5095BG265214</t>
  </si>
  <si>
    <t>250GB</t>
  </si>
  <si>
    <t>COMPAQ</t>
  </si>
  <si>
    <t>BF63006383</t>
  </si>
  <si>
    <t>ACE/EXAM/003</t>
  </si>
  <si>
    <t>ACE62</t>
  </si>
  <si>
    <t>MS1C95D21200269</t>
  </si>
  <si>
    <t>5095BG264942</t>
  </si>
  <si>
    <t>Intel Core 2 Duo E7400</t>
  </si>
  <si>
    <t>64E0XAVA03</t>
  </si>
  <si>
    <t>64E0XAVA07</t>
  </si>
  <si>
    <t>64E0XAVA08</t>
  </si>
  <si>
    <t>CN-0X9DCG-71616-620-02UF</t>
  </si>
  <si>
    <t>ACE/CASH/001</t>
  </si>
  <si>
    <t>CASHIER-PC</t>
  </si>
  <si>
    <t>ACER</t>
  </si>
  <si>
    <t>UXVJKSI124G3084479</t>
  </si>
  <si>
    <t>HCL Peripherals HCMEEWBD13(18.5)</t>
  </si>
  <si>
    <t>9115BG001194</t>
  </si>
  <si>
    <t>1 TB</t>
  </si>
  <si>
    <t>649-0RS6-A03</t>
  </si>
  <si>
    <t>CN-0X9DCG-71616-62D-02UG</t>
  </si>
  <si>
    <t>CASHIER</t>
  </si>
  <si>
    <t>DESKTOP-8MS2K40</t>
  </si>
  <si>
    <t>ROBOTICS</t>
  </si>
  <si>
    <t>THINK STATION</t>
  </si>
  <si>
    <t>ACE/ROB/001</t>
  </si>
  <si>
    <t>lenovo</t>
  </si>
  <si>
    <t>8SSD51C06674AVLC14P01X9</t>
  </si>
  <si>
    <t>Lenovo</t>
  </si>
  <si>
    <t>8SSM60AVLC1380K0B</t>
  </si>
  <si>
    <t>LENOVO P340 ThinkStation P340</t>
  </si>
  <si>
    <t>LENOVO</t>
  </si>
  <si>
    <t> LENOVO 1048 NOK</t>
  </si>
  <si>
    <t>PG02MCVDV</t>
  </si>
  <si>
    <t>Lenovo S24e-20 [Monitor] (24.0")</t>
  </si>
  <si>
    <t>VNA68TMG</t>
  </si>
  <si>
    <t> Intel Core i7-10700</t>
  </si>
  <si>
    <t>16 GB</t>
  </si>
  <si>
    <t>Windows 10 Professional (x64) Version 21H2</t>
  </si>
  <si>
    <t>ACE/SEM/001</t>
  </si>
  <si>
    <t>SEMINARHALL-PC</t>
  </si>
  <si>
    <t>Acer Veriton Series 1.0</t>
  </si>
  <si>
    <t>Acer G31T-M5 1.0</t>
  </si>
  <si>
    <t>AWV230T1419114469LE</t>
  </si>
  <si>
    <t>Intel Pentium Dual-Core E5200</t>
  </si>
  <si>
    <t>320 GB</t>
  </si>
  <si>
    <t>CN-0645N-71616-46P-092R-A00</t>
  </si>
  <si>
    <t>CN-0X9DCG-71616-62D-02TY</t>
  </si>
  <si>
    <t>ACE/ENG/001</t>
  </si>
  <si>
    <t>ACE435</t>
  </si>
  <si>
    <t>MS1C95D21302136</t>
  </si>
  <si>
    <t>HCL Peripherals HCMDLWBT21 [Monitor] (15.3")</t>
  </si>
  <si>
    <t>5095BG264935</t>
  </si>
  <si>
    <t>8AG-19LL-A03</t>
  </si>
  <si>
    <t>CN-0X9DCG-71616-62D-02U3</t>
  </si>
  <si>
    <t>SEMINAR HALL</t>
  </si>
  <si>
    <t>ENGLISH DEPT</t>
  </si>
  <si>
    <t>ACE/MAT/001</t>
  </si>
  <si>
    <t>ACE429</t>
  </si>
  <si>
    <t>ENGLISH</t>
  </si>
  <si>
    <t>MATHEMATICS</t>
  </si>
  <si>
    <t>C0904016882</t>
  </si>
  <si>
    <t>CN-0G8VX8-PRC00-96T-0MU7</t>
  </si>
  <si>
    <t>MATHS DEPT</t>
  </si>
  <si>
    <t>MS1C95D21301805</t>
  </si>
  <si>
    <t>5095BG265613</t>
  </si>
  <si>
    <t>ACE/CHE/001</t>
  </si>
  <si>
    <t>ACE432</t>
  </si>
  <si>
    <t>CHEMISTRY</t>
  </si>
  <si>
    <t>MS1C95D21202961</t>
  </si>
  <si>
    <t>5095BG265287</t>
  </si>
  <si>
    <t>1 GB</t>
  </si>
  <si>
    <t>C0912009618</t>
  </si>
  <si>
    <t>CN-0X9DCG-71616-38J-1IHZ</t>
  </si>
  <si>
    <t>CHEMISTRY DEPT</t>
  </si>
  <si>
    <t>ACE/I-YRHOD/001</t>
  </si>
  <si>
    <t>ACE431</t>
  </si>
  <si>
    <t>I-YEAR HOD</t>
  </si>
  <si>
    <t>AWV230T1419114651LE</t>
  </si>
  <si>
    <t>Acer X193HQ [Monitor] (18.5")</t>
  </si>
  <si>
    <t>ETLEK0D025905014648521</t>
  </si>
  <si>
    <t>C0905015793</t>
  </si>
  <si>
    <t>CN-0X9DCG-71616-389-00P3</t>
  </si>
  <si>
    <t>HOD - I YEAR</t>
  </si>
  <si>
    <t>Gigabyte Technology Co., Ltd. G31M-ES2L</t>
  </si>
  <si>
    <t>ETLEK0D0259050146C8521</t>
  </si>
  <si>
    <t>Intel Pentium Dual-Core E5300</t>
  </si>
  <si>
    <t>C0905015840</t>
  </si>
  <si>
    <t>HPK-MS-107OU</t>
  </si>
  <si>
    <t>ACE428</t>
  </si>
  <si>
    <t>MBA</t>
  </si>
  <si>
    <t>ACE/MBA/001</t>
  </si>
  <si>
    <t>AWV230T1419114492LE</t>
  </si>
  <si>
    <t>Acer X193HQ [Monitor] (18.5"</t>
  </si>
  <si>
    <t>ETLEK0D025905014C68521</t>
  </si>
  <si>
    <t>CN-093H7Y-2CL-04UC</t>
  </si>
  <si>
    <t>MBA-HOD</t>
  </si>
  <si>
    <t>ACE/MBA/002</t>
  </si>
  <si>
    <t>ACE32</t>
  </si>
  <si>
    <t>AWV230T1419114513LE</t>
  </si>
  <si>
    <t>ETLEK0D02590405DAF8521</t>
  </si>
  <si>
    <t>C0811021848</t>
  </si>
  <si>
    <t>DIRECTOR</t>
  </si>
  <si>
    <t>ACE/MBA/003</t>
  </si>
  <si>
    <t>ACE427</t>
  </si>
  <si>
    <t>ETLEK0D02590405D968521</t>
  </si>
  <si>
    <t>Intel Core 2 Duo E7500</t>
  </si>
  <si>
    <t>320/500 GB</t>
  </si>
  <si>
    <t>1318SY04EFZ8</t>
  </si>
  <si>
    <t>CN-0X9DCG-71616-460-0VTS</t>
  </si>
  <si>
    <t>MBA-STAFF</t>
  </si>
  <si>
    <t>ACE/IT/002</t>
  </si>
  <si>
    <t>ACEITSERVER02</t>
  </si>
  <si>
    <t>IT-LAB</t>
  </si>
  <si>
    <t>Workstation</t>
  </si>
  <si>
    <t>Precision 3650 Tower</t>
  </si>
  <si>
    <t>Dell Inc</t>
  </si>
  <si>
    <t>Dell Inc. 0NDYHG A01</t>
  </si>
  <si>
    <t>1R8JWP3/CNPE10023L092H</t>
  </si>
  <si>
    <t>Dell D1918H [Monitor] (18.5"</t>
  </si>
  <si>
    <t>CN-0KY-J23BOZ00-21H52KE-A10</t>
  </si>
  <si>
    <t>Intel 11th Gen Core i7-11700</t>
  </si>
  <si>
    <t>64 GB</t>
  </si>
  <si>
    <t>500SSD/4TB</t>
  </si>
  <si>
    <t>Windows 10</t>
  </si>
  <si>
    <t>CN-0239MR-PRCOO22E-A39P-A00</t>
  </si>
  <si>
    <t>CN-065K5F-LO300-21P-05BM</t>
  </si>
  <si>
    <t>IT LAB</t>
  </si>
  <si>
    <t>Thin Client</t>
  </si>
  <si>
    <t>ACE/IT/001</t>
  </si>
  <si>
    <t>ACEITSERVER01</t>
  </si>
  <si>
    <t>CR8JWP3/CNPE10023L0887</t>
  </si>
  <si>
    <t>CN-065K5F-LO300-21P-0594</t>
  </si>
  <si>
    <t>CN-0239MR-PRCOO22E-A300-A00</t>
  </si>
  <si>
    <t>CN-0KY-J23BOZ00-241-0FZE-A11</t>
  </si>
  <si>
    <t>ACE/IT/</t>
  </si>
  <si>
    <t>Client</t>
  </si>
  <si>
    <t>VCloudPoint V1</t>
  </si>
  <si>
    <t>V1-8QVK-5711</t>
  </si>
  <si>
    <t>A6-8QVK-5711</t>
  </si>
  <si>
    <t>ACER EB 192Q</t>
  </si>
  <si>
    <t>CN-09RYY0-PRC00241-B66P-A00</t>
  </si>
  <si>
    <t>CN-0GXCWV-LO300-23Q-0F49</t>
  </si>
  <si>
    <t>ACE/IT/003</t>
  </si>
  <si>
    <t>ACE/IT/004</t>
  </si>
  <si>
    <t>ACE/IT/005</t>
  </si>
  <si>
    <t>ACE/IT/006</t>
  </si>
  <si>
    <t>ACE/IT/007</t>
  </si>
  <si>
    <t>ACE/IT/008</t>
  </si>
  <si>
    <t>ACE/IT/009</t>
  </si>
  <si>
    <t>ACE/IT/010</t>
  </si>
  <si>
    <t>ACE/IT/011</t>
  </si>
  <si>
    <t>ACE/IT/012</t>
  </si>
  <si>
    <t>ACE/IT/013</t>
  </si>
  <si>
    <t>ACE/IT/014</t>
  </si>
  <si>
    <t>ACE/IT/015</t>
  </si>
  <si>
    <t>ACE/IT/016</t>
  </si>
  <si>
    <t>ACE/IT/017</t>
  </si>
  <si>
    <t>ACE/IT/018</t>
  </si>
  <si>
    <t>ACE/IT/019</t>
  </si>
  <si>
    <t>ACE/IT/020</t>
  </si>
  <si>
    <t>ACE/IT/021</t>
  </si>
  <si>
    <t>ACE/IT/022</t>
  </si>
  <si>
    <t>ACE/IT/023</t>
  </si>
  <si>
    <t>ACE/IT/024</t>
  </si>
  <si>
    <t>ACE/IT/025</t>
  </si>
  <si>
    <t>ACE/IT/026</t>
  </si>
  <si>
    <t>ACE/IT/027</t>
  </si>
  <si>
    <t>ACE/IT/028</t>
  </si>
  <si>
    <t>ACE/IT/029</t>
  </si>
  <si>
    <t>ACE/IT/030</t>
  </si>
  <si>
    <t>ACE/IT/031</t>
  </si>
  <si>
    <t>ACE/IT/032</t>
  </si>
  <si>
    <t>ACE/IT/033</t>
  </si>
  <si>
    <t>ACE/IT/034</t>
  </si>
  <si>
    <t>ACE/IT/035</t>
  </si>
  <si>
    <t>ACE/IT/036</t>
  </si>
  <si>
    <t>ACE/IT/037</t>
  </si>
  <si>
    <t>ACE/IT/038</t>
  </si>
  <si>
    <t>ACE/IT/039</t>
  </si>
  <si>
    <t>ACE/IT/040</t>
  </si>
  <si>
    <t>V1-8QVL-2740</t>
  </si>
  <si>
    <t>VL-8QVL-2740</t>
  </si>
  <si>
    <t>CN-09RYY0-PRC00242-B3W1-A00</t>
  </si>
  <si>
    <t>CN-0GXWV-LO300-23Q-0F3W</t>
  </si>
  <si>
    <t>V1-8QVK-5644</t>
  </si>
  <si>
    <t>A6-8QVK-5644</t>
  </si>
  <si>
    <t>CN-0GXCWV-LO300-23Q-0FK3</t>
  </si>
  <si>
    <t>V1-8QVL-2722</t>
  </si>
  <si>
    <t>A6-8QVL-2722</t>
  </si>
  <si>
    <t>CN-09RYY0-PRC00241-B68L-A00</t>
  </si>
  <si>
    <t>CN-09RYY0-PRC00-242-B43R-A00</t>
  </si>
  <si>
    <t>CN-0GXCWV-LO300-23Q-0F3H</t>
  </si>
  <si>
    <t>V1-8QVK-5559</t>
  </si>
  <si>
    <t>A6-8QVK-5559</t>
  </si>
  <si>
    <t>CN-09RYY0-PRC00-242-B427-A00</t>
  </si>
  <si>
    <t>CN-0GXCWV-LO300-23Q-0F42</t>
  </si>
  <si>
    <t>V1-8QVK-5712</t>
  </si>
  <si>
    <t>A6-8QVK-5712</t>
  </si>
  <si>
    <t>CN-0GXCWV-LO300-23Q-0F3Z</t>
  </si>
  <si>
    <t>V1-8QVN-1341</t>
  </si>
  <si>
    <t>A6-8QVN-1341</t>
  </si>
  <si>
    <t>CN-09RYY0-PRC00-241-B660-A00</t>
  </si>
  <si>
    <t>CN-09RYY0-PRC00-241-B64G-A00</t>
  </si>
  <si>
    <t>CN-0GXCWV-LO300-23Q-0F4C</t>
  </si>
  <si>
    <t>V1-8QVK-5661</t>
  </si>
  <si>
    <t>A6-8QVK-5662</t>
  </si>
  <si>
    <t>CN-09RYY0-PRC00-241-B64V-A00</t>
  </si>
  <si>
    <t>CN-0GXCWV-LO300-23Q-0F3Q</t>
  </si>
  <si>
    <t>V1-8QVL-2726</t>
  </si>
  <si>
    <t>A6-8QVL-2726</t>
  </si>
  <si>
    <t>CN-09RYY0-PRC00-241-B68U-A00</t>
  </si>
  <si>
    <t>CN-0GXCWV-LO300-23Q-0F35</t>
  </si>
  <si>
    <t>V1-8QVL-2733</t>
  </si>
  <si>
    <t>A6-8QVL-2733</t>
  </si>
  <si>
    <t>CN-09RYY0-PRC00-241-B66G-A00</t>
  </si>
  <si>
    <t>CN-0GXCWV-LO300-23Q-0F4D</t>
  </si>
  <si>
    <t>V1-8QVL-2730</t>
  </si>
  <si>
    <t>CN-09RYY0-PRC00-241-868R-A00</t>
  </si>
  <si>
    <t>CN-0GXCWV-LO300-23Q-0F3M</t>
  </si>
  <si>
    <t>V1-8QVL-2723</t>
  </si>
  <si>
    <t>A6-8QVL-2723</t>
  </si>
  <si>
    <t>CN-09RYY0-PRC00-241-868X-A00</t>
  </si>
  <si>
    <t>CN-0GXCWV-LO300-23Q-0F39</t>
  </si>
  <si>
    <t>V1-8QVL-2729</t>
  </si>
  <si>
    <t>A6-8QVL-2729</t>
  </si>
  <si>
    <t>CN-09RYY0-PRC00-241-866T-A00</t>
  </si>
  <si>
    <t>CN-0GXCWV-LO300-23Q-0F3V</t>
  </si>
  <si>
    <t>V1-8QVN-1311</t>
  </si>
  <si>
    <t>A6-8QVN-1331</t>
  </si>
  <si>
    <t>CN-09RYY0-PRC00-241-B68B-A00</t>
  </si>
  <si>
    <t>CN-0GXCWV-LO300-23Q-0F37</t>
  </si>
  <si>
    <t>V1-8QVL-2728</t>
  </si>
  <si>
    <t>A6-8QVL-2728</t>
  </si>
  <si>
    <t>CN-09RYY0-PRC00-241-B66F-A00</t>
  </si>
  <si>
    <t>CN-0GXCWV-LO300-23Q-0F34</t>
  </si>
  <si>
    <t>V1-8QVK-4758</t>
  </si>
  <si>
    <t>A6-8QVK-4758</t>
  </si>
  <si>
    <t>CN-09RYY0-PRC00-241-B3U2-A00</t>
  </si>
  <si>
    <t>CN-0GXCWV-LO300-23Q-0F44</t>
  </si>
  <si>
    <t>V1-8QVK-4763</t>
  </si>
  <si>
    <t>A6-8QVK-4763</t>
  </si>
  <si>
    <t>CN-09RYY0-PRC00-241-B43I-A00</t>
  </si>
  <si>
    <t>CN-0GXCWV-LO300-23Q-0F4B</t>
  </si>
  <si>
    <t>V1-8QVK-4688</t>
  </si>
  <si>
    <t>A6-8QVK-4688</t>
  </si>
  <si>
    <t>CN-09RYY0-PRC00-241-B43T-A00</t>
  </si>
  <si>
    <t>CN-0GXCWV-LO300-23Q-0F3P</t>
  </si>
  <si>
    <t>V1-8QVK-4774</t>
  </si>
  <si>
    <t>A6-8QVK-4774</t>
  </si>
  <si>
    <t>CN-09RYY0-PRC00-241-843V-A00</t>
  </si>
  <si>
    <t>CN-0GXCWV-LO300-23Q-0F4F</t>
  </si>
  <si>
    <t>V1-8QVL-2703</t>
  </si>
  <si>
    <t>A6-8QVL-2703</t>
  </si>
  <si>
    <t>CN-09RYY0-PRC00-241-B688-A00</t>
  </si>
  <si>
    <t>CN-0GXCWV-LO300-23Q-0F3C</t>
  </si>
  <si>
    <t>V1-8QVK-4797</t>
  </si>
  <si>
    <t>A6-8QVK-4797</t>
  </si>
  <si>
    <t>CN-09RYY0-PRC00-241-B68M-A00</t>
  </si>
  <si>
    <t>CN-0GXCWV-LO300-23Q-0FKZ</t>
  </si>
  <si>
    <t>V1-8QVK-4728</t>
  </si>
  <si>
    <t>A6-8QVK-4728</t>
  </si>
  <si>
    <t>CN-09RYY0-PRC00-241-B66K-A00</t>
  </si>
  <si>
    <t>CN-0GXCWV-LO300-23Q-0F3I</t>
  </si>
  <si>
    <t>V1-8QVK-5554</t>
  </si>
  <si>
    <t>A6-8QVK-5554</t>
  </si>
  <si>
    <t>CN-09RYY0-PRC00-241-866Q-A00</t>
  </si>
  <si>
    <t>CN-0GXCWV-LO300-23Q-0F3G</t>
  </si>
  <si>
    <t>V1-8QVL-2735</t>
  </si>
  <si>
    <t>A6-8QVL-2735</t>
  </si>
  <si>
    <t>CN-09RYY0-PRC00-241-B66R-A00</t>
  </si>
  <si>
    <t>CN-0GXCWV-LO300-23Q-0F3J</t>
  </si>
  <si>
    <t>V1-8QVL-2725</t>
  </si>
  <si>
    <t>A6-8QVL-2725</t>
  </si>
  <si>
    <t>CN-09RYY0-PRC00-241-B42X-A00</t>
  </si>
  <si>
    <t>CN-0GXCWV-LO300-23Q-0F3F</t>
  </si>
  <si>
    <t>V1-8QVK-4779</t>
  </si>
  <si>
    <t>A6-8QVK-4779</t>
  </si>
  <si>
    <t>CN-09RYY0-PRC00-241-B68F-A00</t>
  </si>
  <si>
    <t>CN-0GXCWV-LO300-23Q-0F5G</t>
  </si>
  <si>
    <t>V1-8QVK-4780</t>
  </si>
  <si>
    <t>A6-8QVK-4780</t>
  </si>
  <si>
    <t>CN-09RYY0-PRC00-241-B673-A00</t>
  </si>
  <si>
    <t>CN-0GXCWV-LO300-23Q-0F5C</t>
  </si>
  <si>
    <t>V1-8QVN-1338</t>
  </si>
  <si>
    <t>A6-8QVN-1338</t>
  </si>
  <si>
    <t>CN-09RYY0-PRC00-241-B3ZS-A00</t>
  </si>
  <si>
    <t>CN-0GXCWV-LO300-23Q-0F3T</t>
  </si>
  <si>
    <t>V1-8QVK-4778</t>
  </si>
  <si>
    <t>A6-8QVK-4778</t>
  </si>
  <si>
    <t>CN-09RYY0-PRC00-241-B68P-A00</t>
  </si>
  <si>
    <t>CN-0GXCWV-LO300-23Q-0F5I</t>
  </si>
  <si>
    <t>V1-8QVK-4761</t>
  </si>
  <si>
    <t>A6-8QVK-4761</t>
  </si>
  <si>
    <t>CN-09RYY0-PRC00-241-B68V-A00</t>
  </si>
  <si>
    <t>CN-0GXCWV-LO300-23Q-0F5D</t>
  </si>
  <si>
    <t>V1-8QVL-2709</t>
  </si>
  <si>
    <t>A6-8QVL-2709</t>
  </si>
  <si>
    <t>CN-09RYY0-PRC00-241-B64Z-A00</t>
  </si>
  <si>
    <t>CN-0GXCWV-LO300-23Q-0F38</t>
  </si>
  <si>
    <t>V1-8QVK-4801</t>
  </si>
  <si>
    <t>A6-8QVK-4801</t>
  </si>
  <si>
    <t>CN-09RYY0-PRC00-241-B440-A00</t>
  </si>
  <si>
    <t>CN-0GXCWV-LO300-23Q-0F4G</t>
  </si>
  <si>
    <t>V1-8QVK-4810</t>
  </si>
  <si>
    <t>A6-8QVK-4810</t>
  </si>
  <si>
    <t>CN-09RYY0-PRC00-241-B43Z-A00</t>
  </si>
  <si>
    <t>CN-0GXCWV-LO300-23Q-0F3E</t>
  </si>
  <si>
    <t>V1-8QVN-1335</t>
  </si>
  <si>
    <t>A6-8QVN-1335</t>
  </si>
  <si>
    <t>CN-09RYY0-PRC00-241-B67W-A00</t>
  </si>
  <si>
    <t>CN-0GXCWV-LO300-23Q-0FK6</t>
  </si>
  <si>
    <t>V1-8QVK-4791</t>
  </si>
  <si>
    <t>A6-8QVK-4791</t>
  </si>
  <si>
    <t>CN-0GXCWV-LO300-23Q-0FK4</t>
  </si>
  <si>
    <t>V1-8QVK-4765</t>
  </si>
  <si>
    <t>A6-8QVK-4765</t>
  </si>
  <si>
    <t>CN-09RYY0-PRC00-241-B685-A00</t>
  </si>
  <si>
    <t>CN-0GXCWV-LO300-23Q-0FKY</t>
  </si>
  <si>
    <t>V1-8QVK-4803</t>
  </si>
  <si>
    <t>A6-8QVK-4803</t>
  </si>
  <si>
    <t>CN-09RYY0-PRC00-241-B68N-A00</t>
  </si>
  <si>
    <t>CN-0GXCWV-LO300-23Q-0F5F</t>
  </si>
  <si>
    <t>V1-8QVK-4713</t>
  </si>
  <si>
    <t>A6-8QVK-4713</t>
  </si>
  <si>
    <t>CN-09RYY0-PRC00-241-868K-A00</t>
  </si>
  <si>
    <t>CN-0GXCWV-LO300-23Q-0FL4</t>
  </si>
  <si>
    <t>V1-8QVK-4799</t>
  </si>
  <si>
    <t>A6-8QVK-4799</t>
  </si>
  <si>
    <t>CN-09RYY0-PRC00-241-B43N-A00</t>
  </si>
  <si>
    <t>CN-0GXCWV-LO300-23Q-0F3K</t>
  </si>
  <si>
    <t>V1-8QVN-1327</t>
  </si>
  <si>
    <t>A6-8QVN-1327</t>
  </si>
  <si>
    <t>CN-09RYY0-PRC00-241-868I-A00</t>
  </si>
  <si>
    <t>CN-0GXCWV-LO300-23Q-0F3Y</t>
  </si>
  <si>
    <t>ACE/CSE/001</t>
  </si>
  <si>
    <t>V1-8QVL-2707</t>
  </si>
  <si>
    <t>A6-8QVL-2707</t>
  </si>
  <si>
    <t>CN-09RYY0-PRC00-241-B657-A00</t>
  </si>
  <si>
    <t>CN-0GXCWV-LO300-23Q-0F3O</t>
  </si>
  <si>
    <t>CSE LAB</t>
  </si>
  <si>
    <t>ACE/CSE/002</t>
  </si>
  <si>
    <t>V1-8QVL-2713</t>
  </si>
  <si>
    <t>A6-8QVL-2713</t>
  </si>
  <si>
    <t>CN-09RYY0-PRC00-241-B68E-A00</t>
  </si>
  <si>
    <t>CN-0GXCWV-LO300-23Q-0F3U</t>
  </si>
  <si>
    <t>ACE/CSE/003</t>
  </si>
  <si>
    <t>V1-8QVL-2708</t>
  </si>
  <si>
    <t>A6-8QVL-2708</t>
  </si>
  <si>
    <t>CN-09RYY0-PRC00-241-B42W-A00</t>
  </si>
  <si>
    <t>CN-0GXCWV-LO300-23Q-0F3D</t>
  </si>
  <si>
    <t>ACE/CSE/004</t>
  </si>
  <si>
    <t>V1-8QVL-2702</t>
  </si>
  <si>
    <t>A6-8QVL-2702</t>
  </si>
  <si>
    <t>CN-09RYY0-PRC00-241-B654-A00</t>
  </si>
  <si>
    <t>CN-0GXCWV-LO300-23Q-0F4E</t>
  </si>
  <si>
    <t>ACE/CSE/005</t>
  </si>
  <si>
    <t>V1-8QVL-2696</t>
  </si>
  <si>
    <t>A6-8QVL-2696</t>
  </si>
  <si>
    <t>CN-09RYY0-PRC00-241-B64P-A00</t>
  </si>
  <si>
    <t>CN-0GXCWV-LO300-23Q-0F46</t>
  </si>
  <si>
    <t>ACE/CSE/006</t>
  </si>
  <si>
    <t>V1-8QVK-4768</t>
  </si>
  <si>
    <t>A6-8QVK-4768</t>
  </si>
  <si>
    <t>CN-09RYY0-PRC00-241-B674-A00</t>
  </si>
  <si>
    <t>CN-0GXCWV-LO300-23Q-0F5H</t>
  </si>
  <si>
    <t>ACE/CSE/007</t>
  </si>
  <si>
    <t>V1-8QVN-1326</t>
  </si>
  <si>
    <t>A6-8QVN-1326</t>
  </si>
  <si>
    <t>CN-09RYY0-PRC00-241-B66B-A00</t>
  </si>
  <si>
    <t>CN-0GXCWV-LO300-23Q-0F43</t>
  </si>
  <si>
    <t>ACE/CSE/008</t>
  </si>
  <si>
    <t>CN-0GXCWV-LO300-23Q-0F3X</t>
  </si>
  <si>
    <t>CN-09RYY0-PRC00-241-B66A-A00</t>
  </si>
  <si>
    <t>V1-8QVN-1333</t>
  </si>
  <si>
    <t>A6-8QVN-1333</t>
  </si>
  <si>
    <t>ACE/CSE/009</t>
  </si>
  <si>
    <t>ACE/CSE/41</t>
  </si>
  <si>
    <t>ACE/CSE/42</t>
  </si>
  <si>
    <t>ACE/CSE/43</t>
  </si>
  <si>
    <t>ACE/CSE/44</t>
  </si>
  <si>
    <t>ACE/CSE/45</t>
  </si>
  <si>
    <t>ACE/CSE/46</t>
  </si>
  <si>
    <t>ACE/CSE/47</t>
  </si>
  <si>
    <t>ACE/CSE/48</t>
  </si>
  <si>
    <t>ACE/CSE/49</t>
  </si>
  <si>
    <t>V1-8QVL-2727</t>
  </si>
  <si>
    <t>A6-8QVL-2727</t>
  </si>
  <si>
    <t>CN-09RYY0-PRC00-241-B68S-A00</t>
  </si>
  <si>
    <t>ACE/CSE/010</t>
  </si>
  <si>
    <t>V1-8QVL-2710</t>
  </si>
  <si>
    <t>A6-8QVL-2710</t>
  </si>
  <si>
    <t>CN-09RYY0-PRC00-241-B652-A00</t>
  </si>
  <si>
    <t>CN-0GXCWV-LO300-23Q-0F41</t>
  </si>
  <si>
    <t>ACE/CSE/011</t>
  </si>
  <si>
    <t>V1-8QVL-2739</t>
  </si>
  <si>
    <t>A6-8QVL-2739</t>
  </si>
  <si>
    <t>CN-09RYY0-PRC00-241-B66N-A00</t>
  </si>
  <si>
    <t>CN-0GXCWV-LO300-23Q-0F36</t>
  </si>
  <si>
    <t>ACE/CSE/012</t>
  </si>
  <si>
    <t>ACE/CSE/50</t>
  </si>
  <si>
    <t>ACE/CSE/51</t>
  </si>
  <si>
    <t>ACE/CSE/52</t>
  </si>
  <si>
    <t>V1-8QVK-4755</t>
  </si>
  <si>
    <t>A6-8QVK-4755</t>
  </si>
  <si>
    <t>CN-09RYY0-PRC00-241-B67Q-A00</t>
  </si>
  <si>
    <t>CN-0GXCWV-LO300-23Q-0FKW</t>
  </si>
  <si>
    <t>ACE/CSE/013</t>
  </si>
  <si>
    <t>ACE/CSE/53</t>
  </si>
  <si>
    <t>V1-8QVK-4766</t>
  </si>
  <si>
    <t>A6-8QVK-4766</t>
  </si>
  <si>
    <t>CN-09RYY0-PRC00-241-B67G-A00</t>
  </si>
  <si>
    <t>CN-0GXCWV-LO300-23Q-0F5K</t>
  </si>
  <si>
    <t>ACE/CSE/014</t>
  </si>
  <si>
    <t>ACE/CSE/54</t>
  </si>
  <si>
    <t>V1-8QVK-4769</t>
  </si>
  <si>
    <t>A6-8QVK-4769</t>
  </si>
  <si>
    <t>CN-09RYY0-PRC00-241-8689-A00</t>
  </si>
  <si>
    <t>CN-0GXCWV-LO300-23Q-0FK5</t>
  </si>
  <si>
    <t>ACE/CSE/015</t>
  </si>
  <si>
    <t>ACE/CSE/55</t>
  </si>
  <si>
    <t>V1-8QVL-2697</t>
  </si>
  <si>
    <t>A6-8QVL-2697</t>
  </si>
  <si>
    <t>CN-09RYY0-PRC00-241-867N-A00</t>
  </si>
  <si>
    <t>CN-0GXCWV-LO300-23Q-0F5J</t>
  </si>
  <si>
    <t>ACE/CSE/016</t>
  </si>
  <si>
    <t>ACE/CSE/56</t>
  </si>
  <si>
    <t>V1-8QVK-4762</t>
  </si>
  <si>
    <t>A6-8QVK-4762</t>
  </si>
  <si>
    <t>CN-09RYY0-PRC00-241-8651-A00</t>
  </si>
  <si>
    <t>CN-0GXCWV-LO300-23Q-0F3A</t>
  </si>
  <si>
    <t>ACE/CSE/017</t>
  </si>
  <si>
    <t>ACE/CSE/57</t>
  </si>
  <si>
    <t>A6-8QVK-5718</t>
  </si>
  <si>
    <t>V1-8QVK-5718</t>
  </si>
  <si>
    <t>CN-09RYY0-PRC00-241-867T-A00</t>
  </si>
  <si>
    <t>CN-0GXCWV-LO300-23Q-0F3L</t>
  </si>
  <si>
    <t>ACE/CSE/018</t>
  </si>
  <si>
    <t>ACE/CSE/58</t>
  </si>
  <si>
    <t>V1-8QVK-5606</t>
  </si>
  <si>
    <t>A6-8QVK-5606</t>
  </si>
  <si>
    <t>CN-09RYY0-PRC00-241-B66L-A00</t>
  </si>
  <si>
    <t>CN-0GXCWV-LO300-23Q-0FKX</t>
  </si>
  <si>
    <t>ACE/CSE/019</t>
  </si>
  <si>
    <t>ACE/CSE/59</t>
  </si>
  <si>
    <t>V1-8QVK-5553</t>
  </si>
  <si>
    <t>A6-8QVK-5553</t>
  </si>
  <si>
    <t>CN-09RYY0-PRC00-241-B43C-A00</t>
  </si>
  <si>
    <t>CN-0GXCWV-LO300-23Q-0FKT</t>
  </si>
  <si>
    <t>ACE/CSE/020</t>
  </si>
  <si>
    <t>ACE/CSE/60</t>
  </si>
  <si>
    <t>V1-8QVL-2706</t>
  </si>
  <si>
    <t>A6-8QVL-2706</t>
  </si>
  <si>
    <t>CN-0GXCWV-LO300-23Q-0F4A</t>
  </si>
  <si>
    <t>CN-09RYY0-PRC00-241-B655-A00</t>
  </si>
  <si>
    <t>ACE/CSE/021</t>
  </si>
  <si>
    <t>ACE/CSE/61</t>
  </si>
  <si>
    <t>V1-8QVK-5558</t>
  </si>
  <si>
    <t>A6-8QVK-5558</t>
  </si>
  <si>
    <t>CN-09RYY0-PRC00-241-B42V-A00</t>
  </si>
  <si>
    <t>CN-0GXCWV-LO300-23Q-0F3R</t>
  </si>
  <si>
    <t>ACE/CSE/022</t>
  </si>
  <si>
    <t>ACE/CSE/62</t>
  </si>
  <si>
    <t>V1-8QVK-4764</t>
  </si>
  <si>
    <t>A6-8QVK-4764</t>
  </si>
  <si>
    <t>CN-09RYY0-PRC00-241-B684-A00</t>
  </si>
  <si>
    <t>CN-0GXCWV-LO300-23Q-0F5L</t>
  </si>
  <si>
    <t>ACE/CSE/023</t>
  </si>
  <si>
    <t>ACE/CSE/63</t>
  </si>
  <si>
    <t>V1-8QVK-4775</t>
  </si>
  <si>
    <t>A6-8QVK-4775</t>
  </si>
  <si>
    <t>CN-09RYY0-PRC00-241-B682-A00</t>
  </si>
  <si>
    <t>CN-0GXCWV-LO300-23Q-0F5E</t>
  </si>
  <si>
    <t>ACE/CSE/024</t>
  </si>
  <si>
    <t>ACE/CSE/64</t>
  </si>
  <si>
    <t>CN-09RYY0-PRC00-241-842G-A00</t>
  </si>
  <si>
    <t>CN-0GXCWV-LO300-23Q-0F33</t>
  </si>
  <si>
    <t>ACE/CSE/025</t>
  </si>
  <si>
    <t>ACE/CSE/65</t>
  </si>
  <si>
    <t>V1-8QVK-5525</t>
  </si>
  <si>
    <t>A6-8QVK-5525</t>
  </si>
  <si>
    <t>CN-09RYY0-PRC00-241-866C-A00</t>
  </si>
  <si>
    <t>NIL</t>
  </si>
  <si>
    <t>ACE/CSE/026</t>
  </si>
  <si>
    <t>ACE/CSE/66</t>
  </si>
  <si>
    <t>V1-8QVK-5560</t>
  </si>
  <si>
    <t>A6-8QVK-5560</t>
  </si>
  <si>
    <t>CN-09RYY0-PRC00-241-843P-A00</t>
  </si>
  <si>
    <t>CN-0GXCWV-LO300-23Q-0F48</t>
  </si>
  <si>
    <t>ACE/CSE/027</t>
  </si>
  <si>
    <t>ACE/CSE/67</t>
  </si>
  <si>
    <t>V1-8QVL-2724</t>
  </si>
  <si>
    <t>A6-8QVL-2724</t>
  </si>
  <si>
    <t>CN-09RYY0-PRC00-241-B640-A00</t>
  </si>
  <si>
    <t>CN-0GXCWV-LO300-23Q-0F3S</t>
  </si>
  <si>
    <t>ACE/CSE/028</t>
  </si>
  <si>
    <t>ACE/CSE/68</t>
  </si>
  <si>
    <t>V1-8QVL-2721</t>
  </si>
  <si>
    <t>A6-8QVL-2721</t>
  </si>
  <si>
    <t>CN-09RYY0-PRC00-241-B68T-A00</t>
  </si>
  <si>
    <t>CN-0GXCWV-LO300-23Q-0F3N</t>
  </si>
  <si>
    <t>ACE/CSE/029</t>
  </si>
  <si>
    <t>ACE/CSE/69</t>
  </si>
  <si>
    <t>V1-8QVN-1337</t>
  </si>
  <si>
    <t>A6-8QVN-1337</t>
  </si>
  <si>
    <t>CN-09RYY0-PRC00-241-B43B-A00</t>
  </si>
  <si>
    <t>CN-0GXCWV-LO300-23Q-0F45</t>
  </si>
  <si>
    <t>ACE/CSE/030</t>
  </si>
  <si>
    <t>ACE/CSE/70</t>
  </si>
  <si>
    <t>V1-8QVN-2378</t>
  </si>
  <si>
    <t>A6-8QVN-2378</t>
  </si>
  <si>
    <t>CN-09RYY0-PRC00-241-B42Q-A00</t>
  </si>
  <si>
    <t>CN-0GXCWV-LO300-23Q-0F40</t>
  </si>
  <si>
    <t>ACE/IT/041</t>
  </si>
  <si>
    <t>AsusTek Computer INC- P5KPL-VM/S</t>
  </si>
  <si>
    <t>MS1C95D21202221</t>
  </si>
  <si>
    <t>5095BG265021</t>
  </si>
  <si>
    <t>2.20 giga hertz-Intel Pentium Dual E2200</t>
  </si>
  <si>
    <t>C0905019690</t>
  </si>
  <si>
    <t>G9141006673</t>
  </si>
  <si>
    <t>ACE/IT/042</t>
  </si>
  <si>
    <t>MS1C95D21202832</t>
  </si>
  <si>
    <t>5095BG267477</t>
  </si>
  <si>
    <t>CN-0HVG5J-71616-64E-0ZLT-A03</t>
  </si>
  <si>
    <t>G9141004734</t>
  </si>
  <si>
    <t>ACE/IT/043</t>
  </si>
  <si>
    <t>MS1C95D21204142</t>
  </si>
  <si>
    <t>5095BG265671</t>
  </si>
  <si>
    <t>C0905016457</t>
  </si>
  <si>
    <t>CN-093H7Y-71581-1C8-0JHY7</t>
  </si>
  <si>
    <t>ACE/IT/044</t>
  </si>
  <si>
    <t>ACE/IT/045</t>
  </si>
  <si>
    <t>MS1C95D21202324</t>
  </si>
  <si>
    <t>5095BG265454</t>
  </si>
  <si>
    <t>C0905016532</t>
  </si>
  <si>
    <t>G9141004360</t>
  </si>
  <si>
    <t>MS1C95D21201246</t>
  </si>
  <si>
    <t>5095BG65000</t>
  </si>
  <si>
    <t>C1105024670</t>
  </si>
  <si>
    <t>HC245HR00LN</t>
  </si>
  <si>
    <t>ACE/CSE/031</t>
  </si>
  <si>
    <t>ACE/CSE/71</t>
  </si>
  <si>
    <t>5059BG265191</t>
  </si>
  <si>
    <t>C090515610</t>
  </si>
  <si>
    <t>CN-0X9DCG-71616-620-0110</t>
  </si>
  <si>
    <t>ACE/CSE/032</t>
  </si>
  <si>
    <t>ACE/CSE/72</t>
  </si>
  <si>
    <t>MS1C95D21202590</t>
  </si>
  <si>
    <t>DSP LAB</t>
  </si>
  <si>
    <t>ACE/DSP/CPU/005</t>
  </si>
  <si>
    <t>AMHSS &amp; AIS TGULIR - CPU/008</t>
  </si>
  <si>
    <t>SEM008</t>
  </si>
  <si>
    <t>2GB RAM</t>
  </si>
  <si>
    <t>ACE/DSP/CPU/008</t>
  </si>
  <si>
    <t>1 GB RAM</t>
  </si>
  <si>
    <t>2 GB RAM</t>
  </si>
  <si>
    <t>ACE/DSP/CPU/12</t>
  </si>
  <si>
    <t>ACE/DSP/CPU/13(CHK)</t>
  </si>
  <si>
    <t>ACE/DSP/CPU/18</t>
  </si>
  <si>
    <t>AMHSS &amp; AIS TGULIR - CPU/006</t>
  </si>
  <si>
    <t>SEM006</t>
  </si>
  <si>
    <t>AMHSS &amp; AIS TGULIR - CPU/005</t>
  </si>
  <si>
    <t>SEM005</t>
  </si>
  <si>
    <t>ACE/DSP/CPU/19</t>
  </si>
  <si>
    <t>ACE/DSP/CPU/23</t>
  </si>
  <si>
    <t>ACE/DSP/CPU/25</t>
  </si>
  <si>
    <t>ACE/DSP/CPU/29</t>
  </si>
  <si>
    <t>AMHSS &amp; AIS TGULIR - CPU/021</t>
  </si>
  <si>
    <t>SEM021</t>
  </si>
  <si>
    <t>ACE/DSP/CPU/009(ece lab)</t>
  </si>
  <si>
    <t>CAD LAB</t>
  </si>
  <si>
    <t>ACE/CAD/CPU/006</t>
  </si>
  <si>
    <t>ACE/CSC/059</t>
  </si>
  <si>
    <t>ACE/CAD/CPU/007</t>
  </si>
  <si>
    <t>4 GB RAM</t>
  </si>
  <si>
    <t>(2 Nos(2gb ram )</t>
  </si>
  <si>
    <t>2  GB RAM</t>
  </si>
  <si>
    <t>ACE/CAD/CPU/013</t>
  </si>
  <si>
    <t>ACE/CAD/CPU/014</t>
  </si>
  <si>
    <t>ACE/CSC/061</t>
  </si>
  <si>
    <t>ACE/CSC/57</t>
  </si>
  <si>
    <t>ACE/CAD/CPU/021</t>
  </si>
  <si>
    <t>AMHSS &amp; AIS TGULIR - CPU/014</t>
  </si>
  <si>
    <t>SEM014</t>
  </si>
  <si>
    <t>ACE/CAD/CPU/025</t>
  </si>
  <si>
    <t>ACE/CAD/CPU/026</t>
  </si>
  <si>
    <t>ACE/CAD/CPU/027</t>
  </si>
  <si>
    <t>ACE/CSC/036</t>
  </si>
  <si>
    <t>ACE/CSC/043</t>
  </si>
  <si>
    <t>ACE/CSC/011</t>
  </si>
  <si>
    <t>ACE/CAD/CPU/</t>
  </si>
  <si>
    <t>AMHSS &amp; AIS TGULIR - CPU/016</t>
  </si>
  <si>
    <t>SEM016</t>
  </si>
  <si>
    <t xml:space="preserve">it </t>
  </si>
  <si>
    <t>ACE/CSC/CPU/040</t>
  </si>
  <si>
    <t>ACE/IT/CPU/041</t>
  </si>
  <si>
    <t>CSC LAB</t>
  </si>
  <si>
    <t>ACE/IT/CPU/042</t>
  </si>
  <si>
    <t>ACE/CSC/CPU/052</t>
  </si>
  <si>
    <t>ACE/IT/CPU/043</t>
  </si>
  <si>
    <t>ACE/IT/CPU/044</t>
  </si>
  <si>
    <t>ACE/IT/CPU/045</t>
  </si>
  <si>
    <t>ACE/CSC/CPU/029</t>
  </si>
  <si>
    <t>ACE/CSC/CPU/057</t>
  </si>
  <si>
    <t>ACE/IT/CPU/006</t>
  </si>
  <si>
    <t>COMM LAB</t>
  </si>
  <si>
    <t>ACE/IT/CPU/005</t>
  </si>
  <si>
    <t>ACE/IT/CPU/032</t>
  </si>
  <si>
    <t>ACE/IT/CPU/018</t>
  </si>
  <si>
    <t>ACE/IT/CPU/033</t>
  </si>
  <si>
    <t>ACE/IT/CPU/014</t>
  </si>
  <si>
    <t>ACE-CPU-39</t>
  </si>
  <si>
    <t>ACE/ADM/PA</t>
  </si>
  <si>
    <t>AMHSS &amp; AIS TGULIR - CPU/017</t>
  </si>
  <si>
    <t>SEM-17</t>
  </si>
  <si>
    <t>ACE/IT/CPU/028</t>
  </si>
  <si>
    <t>ACE/IT/CPU/027</t>
  </si>
  <si>
    <t>ACE/IT/CPU/024</t>
  </si>
  <si>
    <t>ACE/CSC</t>
  </si>
  <si>
    <t>PET ROOM</t>
  </si>
  <si>
    <t>TV</t>
  </si>
  <si>
    <t>AMHSS &amp; AIS TGULIR - CPU/028</t>
  </si>
  <si>
    <t>SEM-28</t>
  </si>
  <si>
    <t>4GB RAM</t>
  </si>
  <si>
    <t>MBA LAB</t>
  </si>
  <si>
    <t>ACE/CPU/399</t>
  </si>
  <si>
    <t>SEM-13</t>
  </si>
  <si>
    <t>AMHSS &amp; AIS TGULIR - CPU/013</t>
  </si>
  <si>
    <t>ACE/IT001</t>
  </si>
  <si>
    <t>SEM-19</t>
  </si>
  <si>
    <t>ACE /CPU/CSC</t>
  </si>
  <si>
    <t>ACE /CPU/CSC/35</t>
  </si>
  <si>
    <t>DSP</t>
  </si>
  <si>
    <t>CAD</t>
  </si>
  <si>
    <t xml:space="preserve">PET </t>
  </si>
  <si>
    <t>ADM OFFICE</t>
  </si>
  <si>
    <t>PA</t>
  </si>
  <si>
    <t>ACE /CPU/CSC/19</t>
  </si>
  <si>
    <t>CSC-LAB</t>
  </si>
  <si>
    <t>SYSTEM UTILIZED</t>
  </si>
  <si>
    <t>S.NO</t>
  </si>
  <si>
    <t>UTILISED LAB</t>
  </si>
  <si>
    <t xml:space="preserve">CAD </t>
  </si>
  <si>
    <t>ACE/STORE/002</t>
  </si>
  <si>
    <t xml:space="preserve">PA </t>
  </si>
  <si>
    <t>ACE/ADM/011</t>
  </si>
  <si>
    <t>PET</t>
  </si>
  <si>
    <t>ACE/ADM/012</t>
  </si>
  <si>
    <t>Description</t>
  </si>
  <si>
    <t>System Number</t>
  </si>
  <si>
    <t>PC TAKEN</t>
  </si>
  <si>
    <t>ACE/IT/ITLAB10/DT242</t>
  </si>
  <si>
    <t>ACE/CSE/CSE36/DT 39</t>
  </si>
  <si>
    <t>ACE/DSP/CPU/009</t>
  </si>
  <si>
    <t>ACE/IT/ITLAB11/DT243</t>
  </si>
  <si>
    <t>ACE/CSE/CSE35/DT 54</t>
  </si>
  <si>
    <t>ACE/IT/ITLAB05/DT237</t>
  </si>
  <si>
    <t>ACE/IT/ITLAB01/DT236</t>
  </si>
  <si>
    <t>ACE/IT/ITLAB40/DT239</t>
  </si>
  <si>
    <t>ACE/IT/ITLAB/SEM013</t>
  </si>
  <si>
    <t>ACE/IT/ITLAB09/DT241</t>
  </si>
  <si>
    <t>ACE/IT/ITLAB08/DT228</t>
  </si>
  <si>
    <t>ACE/ITLAB15/DT 223</t>
  </si>
  <si>
    <t>ACE/CSC/CPU/58</t>
  </si>
  <si>
    <t>ACE/ITLAB32/DT 249</t>
  </si>
  <si>
    <t>ACE/ITLAB33/DT 250</t>
  </si>
  <si>
    <t>ADDITIONAL</t>
  </si>
  <si>
    <t>ACE/ITLAB28/DT 285</t>
  </si>
  <si>
    <t>ACE/ITLAB27/DT 284</t>
  </si>
  <si>
    <t>ACE/ITLAB18/DT 226</t>
  </si>
  <si>
    <t>ACE/ITLAB14/DT 222</t>
  </si>
  <si>
    <t>WORKING</t>
  </si>
  <si>
    <t>ACE/CSCLAB14/DT 16</t>
  </si>
  <si>
    <t>CHE LAB</t>
  </si>
  <si>
    <t>HDD 0</t>
  </si>
  <si>
    <t>ACE/ITLAB35/DT 285</t>
  </si>
  <si>
    <t>ACE/CSCLAB22/DT 25</t>
  </si>
  <si>
    <t>ACE/ITLAB31/DT 248</t>
  </si>
  <si>
    <t>ACE/CSCLAB04/DT 04</t>
  </si>
  <si>
    <t>ACE/CSCLAB03/DT 03</t>
  </si>
  <si>
    <t>ACE/CSCLAB31/DT 34</t>
  </si>
  <si>
    <t>ACE/ENG/ADM/DT435</t>
  </si>
  <si>
    <t>ACE/CSCLAB55/DT 58</t>
  </si>
  <si>
    <t>ACE/CSCLAB46/DT 49</t>
  </si>
  <si>
    <t>ENG DEPT</t>
  </si>
  <si>
    <t>ACE/CSCLAB39/DT 42</t>
  </si>
  <si>
    <t>ACE/CSCLAB45/DT 48</t>
  </si>
  <si>
    <t>WORKING PCS</t>
  </si>
  <si>
    <t>NOT WORKING PCS</t>
  </si>
  <si>
    <t>ACE/ITLAB25/DT 28</t>
  </si>
  <si>
    <t>ACE/ITLAB29/DT 266</t>
  </si>
  <si>
    <t>MOTHER BOARD</t>
  </si>
  <si>
    <t>ACE/CSCLAB32/DT 35</t>
  </si>
  <si>
    <t>ACE/ITLAB/01/DT 233</t>
  </si>
  <si>
    <t>ACE/ITLAB/12/DT 244</t>
  </si>
  <si>
    <t>ACE/ITLAB/24/DT 287</t>
  </si>
  <si>
    <t>ACE/ADM/EX01/DT 66</t>
  </si>
  <si>
    <t>ACE/CSCLAB15/DT 17</t>
  </si>
  <si>
    <t>ACE/ITLAB/04/DT 419</t>
  </si>
  <si>
    <t>SMPFAULT</t>
  </si>
  <si>
    <t>ACE/ADM/STR/DT 418</t>
  </si>
  <si>
    <t>ACE/ITLAB/27/DT 375</t>
  </si>
  <si>
    <t>SMPS FAULT</t>
  </si>
  <si>
    <t>ACE/CSCLAB09/DT 09</t>
  </si>
  <si>
    <t>ACE/CPU/385</t>
  </si>
  <si>
    <t>ACE/BME/003/DT 03</t>
  </si>
  <si>
    <t>ACE/BME/005/DT 05</t>
  </si>
  <si>
    <t>ACE/BME/004/DT 04</t>
  </si>
  <si>
    <t>ACE/CSCLAB19/ DT 22</t>
  </si>
  <si>
    <t>ACE/ITLAB34/DT 261</t>
  </si>
  <si>
    <t>TOTAL</t>
  </si>
  <si>
    <t>ACE/CSE/CSELAB29/ DT 32</t>
  </si>
  <si>
    <t>ACE/ITLAB37/DT 218</t>
  </si>
  <si>
    <t>ACE/CSELAB08/DT 08</t>
  </si>
  <si>
    <t>ACE/ADM/ACC/DT 434</t>
  </si>
  <si>
    <t>ADM</t>
  </si>
  <si>
    <t>BME</t>
  </si>
  <si>
    <t>ACE/CSC/CSCLAB48/DT 51</t>
  </si>
  <si>
    <t>ACE/CSC/CSCLAB47/DT 50</t>
  </si>
  <si>
    <t>ACE/CSC/CSCLAB13/DT 15</t>
  </si>
  <si>
    <t>BME LAB</t>
  </si>
  <si>
    <t>ACE/DSP/CPU/028(2 GB RAM)</t>
  </si>
  <si>
    <t>ACE/DSP/CPU/25(2 GB RAM)</t>
  </si>
  <si>
    <t>ACE/DSP/CPU/23(1 GB)</t>
  </si>
  <si>
    <t>ACE/DSP/CPU/18(512 MB)</t>
  </si>
  <si>
    <t>ACE/DSP/CPU/007(512 MD)</t>
  </si>
  <si>
    <t xml:space="preserve">DSP </t>
  </si>
  <si>
    <t>IT</t>
  </si>
  <si>
    <t>ACE/CSC/CPU</t>
  </si>
  <si>
    <t>SYSTEM TRANSFERRED</t>
  </si>
  <si>
    <t>HDD FAULT</t>
  </si>
  <si>
    <t>TOTAL PC</t>
  </si>
  <si>
    <t>OLD PC</t>
  </si>
  <si>
    <t>NEW</t>
  </si>
  <si>
    <t>NEW COUNT</t>
  </si>
  <si>
    <t>ACE - IT</t>
  </si>
  <si>
    <t>LAB</t>
  </si>
  <si>
    <t>PC'S</t>
  </si>
  <si>
    <t>PC TAKEN FROM LAB</t>
  </si>
  <si>
    <t>PC REMOVED</t>
  </si>
  <si>
    <t>TOTALCOUNT</t>
  </si>
  <si>
    <t>TRANSFEERED TO</t>
  </si>
  <si>
    <t>FROM CSC</t>
  </si>
  <si>
    <t>FROM IT</t>
  </si>
  <si>
    <t>MBA  LAB -WORKING</t>
  </si>
  <si>
    <t>MBA LAB -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</si>
</sst>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11"/>
      <name val="Carlito"/>
    </font>
    <font>
      <b/>
      <sz val="11"/>
      <name val="Carlito"/>
      <family val="2"/>
    </font>
    <font>
      <sz val="11"/>
      <name val="Carlito"/>
    </font>
    <font>
      <sz val="11"/>
      <name val="Carlito"/>
      <family val="2"/>
    </font>
    <font>
      <sz val="11"/>
      <color rgb="FF000000"/>
      <name val="Carlito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rlito"/>
    </font>
    <font>
      <sz val="10"/>
      <name val="Carlito"/>
      <family val="2"/>
    </font>
    <font>
      <b/>
      <sz val="11"/>
      <color rgb="FF000000"/>
      <name val="Carlito"/>
      <family val="2"/>
    </font>
    <font>
      <u/>
      <sz val="11"/>
      <color theme="1"/>
      <name val="Calibri"/>
      <family val="2"/>
    </font>
    <font>
      <u/>
      <sz val="11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75B5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1D69A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9"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0" fillId="0" borderId="1" xfId="0" applyBorder="1"/>
    <xf numFmtId="0" fontId="12" fillId="0" borderId="1" xfId="5" applyFont="1" applyBorder="1" applyAlignment="1">
      <alignment horizontal="center" vertical="center"/>
    </xf>
    <xf numFmtId="0" fontId="1" fillId="0" borderId="1" xfId="5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/>
    <xf numFmtId="0" fontId="3" fillId="0" borderId="1" xfId="0" applyFont="1" applyBorder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9" xfId="2" applyBorder="1"/>
    <xf numFmtId="0" fontId="5" fillId="0" borderId="0" xfId="2"/>
    <xf numFmtId="0" fontId="5" fillId="0" borderId="10" xfId="2" applyBorder="1"/>
    <xf numFmtId="0" fontId="14" fillId="0" borderId="11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4" fillId="0" borderId="12" xfId="2" applyFont="1" applyBorder="1" applyAlignment="1">
      <alignment horizontal="center"/>
    </xf>
    <xf numFmtId="0" fontId="22" fillId="0" borderId="1" xfId="2" applyFont="1" applyBorder="1"/>
    <xf numFmtId="1" fontId="29" fillId="0" borderId="1" xfId="3" applyNumberFormat="1" applyFont="1" applyBorder="1" applyAlignment="1">
      <alignment horizontal="center" vertical="top" shrinkToFit="1"/>
    </xf>
    <xf numFmtId="1" fontId="29" fillId="8" borderId="1" xfId="3" applyNumberFormat="1" applyFont="1" applyFill="1" applyBorder="1" applyAlignment="1">
      <alignment horizontal="center" vertical="top" shrinkToFit="1"/>
    </xf>
    <xf numFmtId="0" fontId="7" fillId="9" borderId="1" xfId="3" applyFill="1" applyBorder="1" applyAlignment="1">
      <alignment horizontal="center" vertical="top"/>
    </xf>
    <xf numFmtId="1" fontId="29" fillId="9" borderId="1" xfId="3" applyNumberFormat="1" applyFont="1" applyFill="1" applyBorder="1" applyAlignment="1">
      <alignment horizontal="center" vertical="top" shrinkToFit="1"/>
    </xf>
    <xf numFmtId="1" fontId="34" fillId="0" borderId="1" xfId="3" applyNumberFormat="1" applyFont="1" applyBorder="1" applyAlignment="1">
      <alignment horizontal="center" vertical="top" shrinkToFit="1"/>
    </xf>
    <xf numFmtId="0" fontId="7" fillId="0" borderId="1" xfId="3" applyBorder="1" applyAlignment="1">
      <alignment horizontal="center"/>
    </xf>
    <xf numFmtId="0" fontId="7" fillId="0" borderId="1" xfId="3" applyBorder="1" applyAlignment="1">
      <alignment horizontal="center" vertical="center"/>
    </xf>
    <xf numFmtId="0" fontId="31" fillId="0" borderId="1" xfId="3" applyFont="1" applyBorder="1" applyAlignment="1">
      <alignment horizontal="center"/>
    </xf>
    <xf numFmtId="0" fontId="35" fillId="0" borderId="1" xfId="4" applyFont="1" applyBorder="1" applyAlignment="1" applyProtection="1">
      <alignment horizontal="center"/>
    </xf>
    <xf numFmtId="0" fontId="23" fillId="0" borderId="1" xfId="3" applyFont="1" applyBorder="1" applyAlignment="1">
      <alignment horizontal="center"/>
    </xf>
    <xf numFmtId="0" fontId="36" fillId="0" borderId="1" xfId="4" applyFont="1" applyBorder="1" applyAlignment="1" applyProtection="1">
      <alignment horizontal="center"/>
    </xf>
    <xf numFmtId="0" fontId="30" fillId="0" borderId="1" xfId="3" applyFont="1" applyBorder="1" applyAlignment="1">
      <alignment horizontal="center"/>
    </xf>
    <xf numFmtId="0" fontId="7" fillId="0" borderId="1" xfId="3" applyBorder="1" applyAlignment="1">
      <alignment horizontal="center" vertical="top"/>
    </xf>
    <xf numFmtId="0" fontId="31" fillId="0" borderId="1" xfId="3" applyFont="1" applyBorder="1" applyAlignment="1">
      <alignment horizontal="center" vertical="top"/>
    </xf>
    <xf numFmtId="0" fontId="25" fillId="0" borderId="1" xfId="3" applyFont="1" applyBorder="1" applyAlignment="1">
      <alignment horizontal="center" vertical="top"/>
    </xf>
    <xf numFmtId="0" fontId="27" fillId="0" borderId="1" xfId="3" applyFont="1" applyBorder="1" applyAlignment="1">
      <alignment horizontal="center" vertical="top"/>
    </xf>
    <xf numFmtId="0" fontId="28" fillId="0" borderId="1" xfId="3" applyFont="1" applyBorder="1" applyAlignment="1">
      <alignment horizontal="center" vertical="top"/>
    </xf>
    <xf numFmtId="0" fontId="30" fillId="0" borderId="1" xfId="3" applyFont="1" applyBorder="1" applyAlignment="1">
      <alignment horizontal="center" vertical="top"/>
    </xf>
    <xf numFmtId="0" fontId="27" fillId="8" borderId="1" xfId="3" applyFont="1" applyFill="1" applyBorder="1" applyAlignment="1">
      <alignment horizontal="center" vertical="top"/>
    </xf>
    <xf numFmtId="0" fontId="28" fillId="8" borderId="1" xfId="3" applyFont="1" applyFill="1" applyBorder="1" applyAlignment="1">
      <alignment horizontal="center" vertical="top"/>
    </xf>
    <xf numFmtId="0" fontId="31" fillId="8" borderId="1" xfId="3" applyFont="1" applyFill="1" applyBorder="1" applyAlignment="1">
      <alignment horizontal="center" vertical="top"/>
    </xf>
    <xf numFmtId="0" fontId="27" fillId="9" borderId="1" xfId="3" applyFont="1" applyFill="1" applyBorder="1" applyAlignment="1">
      <alignment horizontal="center" vertical="top"/>
    </xf>
    <xf numFmtId="0" fontId="28" fillId="9" borderId="1" xfId="3" applyFont="1" applyFill="1" applyBorder="1" applyAlignment="1">
      <alignment horizontal="center" vertical="top"/>
    </xf>
    <xf numFmtId="0" fontId="32" fillId="8" borderId="1" xfId="3" applyFont="1" applyFill="1" applyBorder="1" applyAlignment="1">
      <alignment horizontal="center" vertical="top"/>
    </xf>
    <xf numFmtId="0" fontId="26" fillId="0" borderId="1" xfId="3" applyFont="1" applyBorder="1" applyAlignment="1">
      <alignment horizontal="center" vertical="top"/>
    </xf>
    <xf numFmtId="0" fontId="14" fillId="0" borderId="1" xfId="0" applyFont="1" applyBorder="1"/>
    <xf numFmtId="0" fontId="17" fillId="4" borderId="1" xfId="1" applyFont="1" applyFill="1" applyBorder="1" applyAlignment="1">
      <alignment horizontal="center"/>
    </xf>
    <xf numFmtId="1" fontId="17" fillId="4" borderId="1" xfId="1" applyNumberFormat="1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4" fillId="4" borderId="1" xfId="1" applyFont="1" applyFill="1" applyBorder="1" applyAlignment="1">
      <alignment horizontal="center"/>
    </xf>
    <xf numFmtId="0" fontId="30" fillId="0" borderId="1" xfId="0" applyFont="1" applyBorder="1"/>
    <xf numFmtId="0" fontId="30" fillId="4" borderId="1" xfId="0" applyFont="1" applyFill="1" applyBorder="1"/>
    <xf numFmtId="0" fontId="0" fillId="4" borderId="1" xfId="0" applyFill="1" applyBorder="1"/>
    <xf numFmtId="0" fontId="22" fillId="0" borderId="0" xfId="0" applyFont="1"/>
    <xf numFmtId="0" fontId="40" fillId="4" borderId="1" xfId="0" applyFont="1" applyFill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1" fontId="22" fillId="0" borderId="0" xfId="0" applyNumberFormat="1" applyFont="1"/>
    <xf numFmtId="0" fontId="7" fillId="11" borderId="1" xfId="3" applyFill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12" fillId="0" borderId="0" xfId="0" applyFont="1"/>
    <xf numFmtId="1" fontId="12" fillId="4" borderId="1" xfId="1" applyNumberFormat="1" applyFont="1" applyFill="1" applyBorder="1" applyAlignment="1">
      <alignment horizontal="center"/>
    </xf>
    <xf numFmtId="0" fontId="12" fillId="4" borderId="1" xfId="1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0" fontId="41" fillId="0" borderId="0" xfId="0" applyFont="1"/>
    <xf numFmtId="0" fontId="42" fillId="4" borderId="1" xfId="0" applyFont="1" applyFill="1" applyBorder="1" applyAlignment="1">
      <alignment horizontal="center"/>
    </xf>
    <xf numFmtId="0" fontId="7" fillId="0" borderId="0" xfId="0" applyFont="1"/>
    <xf numFmtId="1" fontId="42" fillId="4" borderId="1" xfId="0" applyNumberFormat="1" applyFont="1" applyFill="1" applyBorder="1" applyAlignment="1">
      <alignment horizontal="center"/>
    </xf>
    <xf numFmtId="0" fontId="42" fillId="4" borderId="1" xfId="1" applyFont="1" applyFill="1" applyBorder="1" applyAlignment="1">
      <alignment horizontal="center"/>
    </xf>
    <xf numFmtId="1" fontId="42" fillId="4" borderId="1" xfId="1" applyNumberFormat="1" applyFont="1" applyFill="1" applyBorder="1" applyAlignment="1">
      <alignment horizontal="center"/>
    </xf>
    <xf numFmtId="0" fontId="17" fillId="4" borderId="1" xfId="1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12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0" fontId="43" fillId="0" borderId="0" xfId="0" applyFont="1"/>
    <xf numFmtId="0" fontId="46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10" borderId="1" xfId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46" fillId="0" borderId="4" xfId="0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3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6" xfId="2" applyFont="1" applyBorder="1" applyAlignment="1">
      <alignment horizontal="center"/>
    </xf>
    <xf numFmtId="0" fontId="14" fillId="0" borderId="7" xfId="2" applyFont="1" applyBorder="1" applyAlignment="1">
      <alignment horizontal="center"/>
    </xf>
    <xf numFmtId="0" fontId="14" fillId="0" borderId="8" xfId="2" applyFont="1" applyBorder="1" applyAlignment="1">
      <alignment horizontal="center"/>
    </xf>
    <xf numFmtId="0" fontId="24" fillId="7" borderId="1" xfId="3" applyFont="1" applyFill="1" applyBorder="1" applyAlignment="1">
      <alignment horizontal="center" vertical="top"/>
    </xf>
  </cellXfs>
  <cellStyles count="6">
    <cellStyle name="Hyperlink 2" xfId="4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5" xr:uid="{00000000-0005-0000-0000-000004000000}"/>
    <cellStyle name="Normal 5" xfId="1" xr:uid="{00000000-0005-0000-0000-000005000000}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33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U46"/>
  <sheetViews>
    <sheetView zoomScale="85" zoomScaleNormal="85" workbookViewId="0">
      <selection activeCell="J2" sqref="J2"/>
    </sheetView>
  </sheetViews>
  <sheetFormatPr defaultColWidth="9.109375" defaultRowHeight="14.4"/>
  <cols>
    <col min="1" max="1" width="5.109375" style="67" bestFit="1" customWidth="1"/>
    <col min="2" max="2" width="16.5546875" style="67" bestFit="1" customWidth="1"/>
    <col min="3" max="3" width="25.5546875" style="67" bestFit="1" customWidth="1"/>
    <col min="4" max="4" width="16.33203125" style="67" bestFit="1" customWidth="1"/>
    <col min="5" max="5" width="13.5546875" style="67" bestFit="1" customWidth="1"/>
    <col min="6" max="6" width="18.5546875" style="67" customWidth="1"/>
    <col min="7" max="7" width="39.88671875" style="67" bestFit="1" customWidth="1"/>
    <col min="8" max="8" width="32.109375" style="67" customWidth="1"/>
    <col min="9" max="9" width="30.33203125" style="67" bestFit="1" customWidth="1"/>
    <col min="10" max="10" width="29.5546875" style="67" bestFit="1" customWidth="1"/>
    <col min="11" max="11" width="31.44140625" style="66" bestFit="1" customWidth="1"/>
    <col min="12" max="12" width="28.44140625" style="67" customWidth="1"/>
    <col min="13" max="13" width="12.109375" style="67" bestFit="1" customWidth="1"/>
    <col min="14" max="14" width="19.33203125" style="67" bestFit="1" customWidth="1"/>
    <col min="15" max="15" width="36.5546875" style="67" customWidth="1"/>
    <col min="16" max="16" width="21.6640625" style="67" customWidth="1"/>
    <col min="17" max="17" width="32.33203125" style="67" bestFit="1" customWidth="1"/>
    <col min="18" max="18" width="21.6640625" style="67" customWidth="1"/>
    <col min="19" max="19" width="33.5546875" style="67" bestFit="1" customWidth="1"/>
    <col min="20" max="20" width="16.33203125" style="67" bestFit="1" customWidth="1"/>
    <col min="21" max="21" width="72.44140625" style="67" bestFit="1" customWidth="1"/>
    <col min="22" max="16384" width="9.109375" style="67"/>
  </cols>
  <sheetData>
    <row r="1" spans="1:21" ht="17.399999999999999">
      <c r="A1" s="110" t="s">
        <v>248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ht="15.6">
      <c r="A2" s="64" t="s">
        <v>2</v>
      </c>
      <c r="B2" s="64" t="s">
        <v>1</v>
      </c>
      <c r="C2" s="64" t="s">
        <v>3</v>
      </c>
      <c r="D2" s="64" t="s">
        <v>5</v>
      </c>
      <c r="E2" s="64" t="s">
        <v>6</v>
      </c>
      <c r="F2" s="64" t="s">
        <v>7</v>
      </c>
      <c r="G2" s="64" t="s">
        <v>8</v>
      </c>
      <c r="H2" s="64" t="s">
        <v>9</v>
      </c>
      <c r="I2" s="64" t="s">
        <v>10</v>
      </c>
      <c r="J2" s="64" t="s">
        <v>11</v>
      </c>
      <c r="K2" s="65" t="s">
        <v>12</v>
      </c>
      <c r="L2" s="64" t="s">
        <v>13</v>
      </c>
      <c r="M2" s="64" t="s">
        <v>14</v>
      </c>
      <c r="N2" s="64" t="s">
        <v>15</v>
      </c>
      <c r="O2" s="64" t="s">
        <v>16</v>
      </c>
      <c r="P2" s="64" t="s">
        <v>89</v>
      </c>
      <c r="Q2" s="64" t="s">
        <v>10</v>
      </c>
      <c r="R2" s="64" t="s">
        <v>234</v>
      </c>
      <c r="S2" s="64" t="s">
        <v>10</v>
      </c>
      <c r="T2" s="64" t="s">
        <v>17</v>
      </c>
      <c r="U2" s="64" t="s">
        <v>19</v>
      </c>
    </row>
    <row r="3" spans="1:21" s="86" customFormat="1" ht="13.8">
      <c r="A3" s="82">
        <v>1</v>
      </c>
      <c r="B3" s="82" t="s">
        <v>258</v>
      </c>
      <c r="C3" s="82"/>
      <c r="D3" s="82"/>
      <c r="E3" s="82"/>
      <c r="F3" s="82"/>
      <c r="G3" s="83"/>
      <c r="H3" s="82"/>
      <c r="I3" s="82"/>
      <c r="J3" s="82"/>
      <c r="K3" s="84"/>
      <c r="L3" s="82"/>
      <c r="M3" s="82"/>
      <c r="N3" s="82"/>
      <c r="O3" s="82"/>
      <c r="P3" s="82"/>
      <c r="Q3" s="82"/>
      <c r="R3" s="82"/>
      <c r="S3" s="82"/>
      <c r="T3" s="82"/>
      <c r="U3" s="85"/>
    </row>
    <row r="4" spans="1:21" s="86" customFormat="1" ht="13.8">
      <c r="A4" s="86">
        <v>2</v>
      </c>
      <c r="B4" s="82" t="s">
        <v>259</v>
      </c>
      <c r="C4" s="86" t="s">
        <v>319</v>
      </c>
      <c r="D4" s="86" t="s">
        <v>269</v>
      </c>
      <c r="E4" s="86" t="s">
        <v>20</v>
      </c>
      <c r="F4" s="86" t="s">
        <v>320</v>
      </c>
      <c r="G4" s="89" t="s">
        <v>288</v>
      </c>
      <c r="H4" s="89" t="s">
        <v>321</v>
      </c>
      <c r="I4" s="86" t="s">
        <v>320</v>
      </c>
      <c r="J4" s="89" t="s">
        <v>322</v>
      </c>
      <c r="K4" s="89" t="s">
        <v>323</v>
      </c>
      <c r="L4" s="89" t="s">
        <v>324</v>
      </c>
      <c r="M4" s="82" t="s">
        <v>23</v>
      </c>
      <c r="N4" s="86" t="s">
        <v>28</v>
      </c>
      <c r="O4" s="86" t="s">
        <v>26</v>
      </c>
      <c r="P4" s="86" t="s">
        <v>32</v>
      </c>
      <c r="Q4" s="86" t="s">
        <v>368</v>
      </c>
      <c r="R4" s="86" t="s">
        <v>32</v>
      </c>
      <c r="S4" s="86" t="s">
        <v>325</v>
      </c>
      <c r="T4" s="86" t="s">
        <v>24</v>
      </c>
    </row>
    <row r="5" spans="1:21" s="86" customFormat="1" ht="13.8">
      <c r="A5" s="86">
        <v>3</v>
      </c>
      <c r="B5" s="82" t="s">
        <v>260</v>
      </c>
      <c r="C5" s="86" t="s">
        <v>312</v>
      </c>
      <c r="D5" s="86" t="s">
        <v>269</v>
      </c>
      <c r="E5" s="86" t="s">
        <v>20</v>
      </c>
      <c r="F5" s="89" t="s">
        <v>314</v>
      </c>
      <c r="G5" s="89" t="s">
        <v>313</v>
      </c>
      <c r="H5" s="89" t="s">
        <v>315</v>
      </c>
      <c r="I5" s="86" t="s">
        <v>316</v>
      </c>
      <c r="J5" s="86" t="s">
        <v>317</v>
      </c>
      <c r="K5" s="89" t="s">
        <v>318</v>
      </c>
      <c r="L5" s="86" t="s">
        <v>275</v>
      </c>
      <c r="M5" s="86" t="s">
        <v>290</v>
      </c>
      <c r="N5" s="86" t="s">
        <v>277</v>
      </c>
      <c r="O5" s="86" t="s">
        <v>26</v>
      </c>
      <c r="P5" s="86" t="s">
        <v>32</v>
      </c>
      <c r="Q5" s="86" t="s">
        <v>367</v>
      </c>
      <c r="R5" s="86" t="s">
        <v>285</v>
      </c>
      <c r="S5" s="86" t="s">
        <v>285</v>
      </c>
      <c r="T5" s="86" t="s">
        <v>24</v>
      </c>
    </row>
    <row r="6" spans="1:21" s="86" customFormat="1" ht="13.8">
      <c r="A6" s="86">
        <v>4</v>
      </c>
      <c r="B6" s="82" t="s">
        <v>261</v>
      </c>
      <c r="C6" s="86" t="s">
        <v>295</v>
      </c>
      <c r="D6" s="86" t="s">
        <v>269</v>
      </c>
      <c r="E6" s="86" t="s">
        <v>20</v>
      </c>
      <c r="F6" s="86" t="s">
        <v>285</v>
      </c>
      <c r="G6" s="89" t="s">
        <v>281</v>
      </c>
      <c r="H6" s="89" t="s">
        <v>296</v>
      </c>
      <c r="I6" s="86" t="s">
        <v>285</v>
      </c>
      <c r="J6" s="89" t="s">
        <v>286</v>
      </c>
      <c r="K6" s="89" t="s">
        <v>297</v>
      </c>
      <c r="L6" s="89" t="s">
        <v>298</v>
      </c>
      <c r="M6" s="82" t="s">
        <v>23</v>
      </c>
      <c r="N6" s="86" t="s">
        <v>28</v>
      </c>
      <c r="O6" s="86" t="s">
        <v>26</v>
      </c>
      <c r="P6" s="86" t="s">
        <v>25</v>
      </c>
      <c r="Q6" s="86" t="s">
        <v>299</v>
      </c>
      <c r="R6" s="86" t="s">
        <v>32</v>
      </c>
      <c r="S6" s="86" t="s">
        <v>300</v>
      </c>
      <c r="T6" s="86" t="s">
        <v>24</v>
      </c>
    </row>
    <row r="7" spans="1:21" s="86" customFormat="1" ht="13.8">
      <c r="A7" s="82">
        <v>5</v>
      </c>
      <c r="B7" s="82" t="s">
        <v>262</v>
      </c>
      <c r="C7" s="86" t="s">
        <v>301</v>
      </c>
      <c r="D7" s="86" t="s">
        <v>269</v>
      </c>
      <c r="E7" s="86" t="s">
        <v>20</v>
      </c>
      <c r="F7" s="89" t="s">
        <v>302</v>
      </c>
      <c r="G7" s="89" t="s">
        <v>304</v>
      </c>
      <c r="H7" s="89" t="s">
        <v>303</v>
      </c>
      <c r="I7" s="89" t="s">
        <v>305</v>
      </c>
      <c r="J7" s="89" t="s">
        <v>286</v>
      </c>
      <c r="K7" s="89" t="s">
        <v>306</v>
      </c>
      <c r="L7" s="89" t="s">
        <v>307</v>
      </c>
      <c r="M7" s="86" t="s">
        <v>308</v>
      </c>
      <c r="N7" s="86" t="s">
        <v>31</v>
      </c>
      <c r="O7" s="86" t="s">
        <v>309</v>
      </c>
      <c r="P7" s="86" t="s">
        <v>310</v>
      </c>
      <c r="Q7" s="86" t="s">
        <v>311</v>
      </c>
      <c r="R7" s="86" t="s">
        <v>285</v>
      </c>
      <c r="T7" s="86" t="s">
        <v>24</v>
      </c>
    </row>
    <row r="8" spans="1:21" s="86" customFormat="1" ht="13.8">
      <c r="A8" s="86">
        <v>6</v>
      </c>
      <c r="B8" s="82" t="s">
        <v>263</v>
      </c>
      <c r="C8" s="86" t="s">
        <v>326</v>
      </c>
      <c r="D8" s="86" t="s">
        <v>269</v>
      </c>
      <c r="E8" s="86" t="s">
        <v>20</v>
      </c>
      <c r="F8" s="87" t="s">
        <v>25</v>
      </c>
      <c r="G8" s="89" t="s">
        <v>442</v>
      </c>
      <c r="H8" s="89" t="s">
        <v>442</v>
      </c>
      <c r="I8" s="86" t="s">
        <v>285</v>
      </c>
      <c r="J8" s="89" t="s">
        <v>437</v>
      </c>
      <c r="K8" s="89" t="s">
        <v>443</v>
      </c>
      <c r="L8" s="89" t="s">
        <v>444</v>
      </c>
      <c r="M8" s="86" t="s">
        <v>290</v>
      </c>
      <c r="N8" s="86" t="s">
        <v>277</v>
      </c>
      <c r="O8" s="86" t="s">
        <v>26</v>
      </c>
      <c r="P8" s="86" t="s">
        <v>25</v>
      </c>
      <c r="Q8" s="86" t="s">
        <v>445</v>
      </c>
      <c r="R8" s="86" t="s">
        <v>310</v>
      </c>
      <c r="S8" s="86" t="s">
        <v>446</v>
      </c>
      <c r="T8" s="86" t="s">
        <v>24</v>
      </c>
    </row>
    <row r="9" spans="1:21" s="86" customFormat="1" ht="13.8">
      <c r="A9" s="86">
        <v>7</v>
      </c>
      <c r="B9" s="82" t="s">
        <v>264</v>
      </c>
      <c r="C9" s="86" t="s">
        <v>268</v>
      </c>
      <c r="D9" s="86" t="s">
        <v>269</v>
      </c>
      <c r="E9" s="86" t="s">
        <v>20</v>
      </c>
      <c r="F9" s="86" t="s">
        <v>25</v>
      </c>
      <c r="G9" s="86" t="s">
        <v>270</v>
      </c>
      <c r="H9" s="86" t="s">
        <v>271</v>
      </c>
      <c r="I9" s="86" t="s">
        <v>272</v>
      </c>
      <c r="J9" s="86" t="s">
        <v>273</v>
      </c>
      <c r="K9" s="88" t="s">
        <v>274</v>
      </c>
      <c r="L9" s="86" t="s">
        <v>275</v>
      </c>
      <c r="M9" s="86" t="s">
        <v>276</v>
      </c>
      <c r="N9" s="86" t="s">
        <v>277</v>
      </c>
      <c r="O9" s="86" t="s">
        <v>26</v>
      </c>
      <c r="P9" s="86" t="s">
        <v>25</v>
      </c>
      <c r="Q9" s="86" t="s">
        <v>278</v>
      </c>
      <c r="R9" s="86" t="s">
        <v>32</v>
      </c>
      <c r="S9" s="86" t="s">
        <v>279</v>
      </c>
      <c r="T9" s="82" t="s">
        <v>24</v>
      </c>
    </row>
    <row r="10" spans="1:21" s="86" customFormat="1" ht="13.8">
      <c r="A10" s="86">
        <v>8</v>
      </c>
      <c r="B10" s="82" t="s">
        <v>265</v>
      </c>
      <c r="C10" s="86" t="s">
        <v>280</v>
      </c>
      <c r="D10" s="86" t="s">
        <v>269</v>
      </c>
      <c r="E10" s="86" t="s">
        <v>20</v>
      </c>
      <c r="F10" s="86" t="s">
        <v>25</v>
      </c>
      <c r="G10" s="83" t="s">
        <v>281</v>
      </c>
      <c r="H10" s="83" t="s">
        <v>29</v>
      </c>
      <c r="I10" s="86" t="s">
        <v>285</v>
      </c>
      <c r="J10" s="83" t="s">
        <v>282</v>
      </c>
      <c r="K10" s="88"/>
      <c r="L10" s="83" t="s">
        <v>283</v>
      </c>
      <c r="M10" s="86" t="s">
        <v>290</v>
      </c>
      <c r="N10" s="86" t="s">
        <v>277</v>
      </c>
      <c r="O10" s="86" t="s">
        <v>26</v>
      </c>
      <c r="P10" s="86" t="s">
        <v>25</v>
      </c>
      <c r="Q10" s="86">
        <v>486112100101</v>
      </c>
      <c r="R10" s="86" t="s">
        <v>294</v>
      </c>
      <c r="S10" s="86" t="s">
        <v>285</v>
      </c>
      <c r="T10" s="86" t="s">
        <v>24</v>
      </c>
    </row>
    <row r="11" spans="1:21" s="86" customFormat="1" ht="13.8">
      <c r="A11" s="82">
        <v>9</v>
      </c>
      <c r="B11" s="82" t="s">
        <v>266</v>
      </c>
      <c r="K11" s="88"/>
    </row>
    <row r="12" spans="1:21" s="86" customFormat="1" ht="13.8">
      <c r="A12" s="86">
        <v>10</v>
      </c>
      <c r="B12" s="82" t="s">
        <v>267</v>
      </c>
      <c r="C12" s="86" t="s">
        <v>284</v>
      </c>
      <c r="D12" s="86" t="s">
        <v>269</v>
      </c>
      <c r="E12" s="86" t="s">
        <v>20</v>
      </c>
      <c r="F12" s="86" t="s">
        <v>25</v>
      </c>
      <c r="G12" s="89" t="s">
        <v>288</v>
      </c>
      <c r="H12" s="89">
        <v>80015</v>
      </c>
      <c r="I12" s="86" t="s">
        <v>285</v>
      </c>
      <c r="J12" s="89" t="s">
        <v>286</v>
      </c>
      <c r="K12" s="89" t="s">
        <v>287</v>
      </c>
      <c r="L12" s="89" t="s">
        <v>289</v>
      </c>
      <c r="M12" s="86" t="s">
        <v>290</v>
      </c>
      <c r="N12" s="86" t="s">
        <v>291</v>
      </c>
      <c r="O12" s="86" t="s">
        <v>26</v>
      </c>
      <c r="P12" s="86" t="s">
        <v>25</v>
      </c>
      <c r="Q12" s="86" t="s">
        <v>292</v>
      </c>
      <c r="R12" s="86" t="s">
        <v>32</v>
      </c>
      <c r="S12" s="86" t="s">
        <v>293</v>
      </c>
      <c r="T12" s="86" t="s">
        <v>24</v>
      </c>
    </row>
    <row r="13" spans="1:21" s="86" customFormat="1" ht="13.8">
      <c r="A13" s="86">
        <v>12</v>
      </c>
      <c r="B13" s="86" t="s">
        <v>327</v>
      </c>
      <c r="C13" s="86" t="s">
        <v>335</v>
      </c>
      <c r="D13" s="86" t="s">
        <v>269</v>
      </c>
      <c r="E13" s="86" t="s">
        <v>20</v>
      </c>
      <c r="F13" s="86" t="s">
        <v>25</v>
      </c>
      <c r="G13" s="89" t="s">
        <v>313</v>
      </c>
      <c r="H13" s="89" t="s">
        <v>336</v>
      </c>
      <c r="I13" s="89" t="s">
        <v>337</v>
      </c>
      <c r="J13" s="89" t="s">
        <v>338</v>
      </c>
      <c r="K13" s="89" t="s">
        <v>339</v>
      </c>
      <c r="L13" s="89" t="s">
        <v>286</v>
      </c>
      <c r="M13" s="86" t="s">
        <v>340</v>
      </c>
      <c r="N13" s="86" t="s">
        <v>291</v>
      </c>
      <c r="O13" s="86" t="s">
        <v>26</v>
      </c>
      <c r="P13" s="86" t="s">
        <v>341</v>
      </c>
      <c r="Q13" s="86" t="s">
        <v>342</v>
      </c>
      <c r="R13" s="86" t="s">
        <v>32</v>
      </c>
      <c r="S13" s="86" t="s">
        <v>343</v>
      </c>
      <c r="T13" s="86" t="s">
        <v>334</v>
      </c>
    </row>
    <row r="14" spans="1:21" s="86" customFormat="1" ht="13.8">
      <c r="A14" s="82">
        <v>13</v>
      </c>
      <c r="B14" s="86" t="s">
        <v>328</v>
      </c>
      <c r="C14" s="86" t="s">
        <v>329</v>
      </c>
      <c r="D14" s="86" t="s">
        <v>269</v>
      </c>
      <c r="E14" s="86" t="s">
        <v>20</v>
      </c>
      <c r="F14" s="86" t="s">
        <v>25</v>
      </c>
      <c r="G14" s="89" t="s">
        <v>313</v>
      </c>
      <c r="H14" s="89" t="s">
        <v>330</v>
      </c>
      <c r="I14" s="89" t="s">
        <v>331</v>
      </c>
      <c r="J14" s="89" t="s">
        <v>286</v>
      </c>
      <c r="K14" s="89" t="s">
        <v>332</v>
      </c>
      <c r="L14" s="89" t="s">
        <v>275</v>
      </c>
      <c r="M14" s="86" t="s">
        <v>290</v>
      </c>
      <c r="N14" s="86" t="s">
        <v>277</v>
      </c>
      <c r="O14" s="86" t="s">
        <v>26</v>
      </c>
      <c r="P14" s="86" t="s">
        <v>25</v>
      </c>
      <c r="Q14" s="86" t="s">
        <v>333</v>
      </c>
      <c r="R14" s="86" t="s">
        <v>294</v>
      </c>
      <c r="S14" s="86" t="s">
        <v>285</v>
      </c>
      <c r="T14" s="86" t="s">
        <v>334</v>
      </c>
    </row>
    <row r="15" spans="1:21" s="86" customFormat="1" ht="13.8">
      <c r="A15" s="86">
        <v>14</v>
      </c>
      <c r="B15" s="86" t="s">
        <v>370</v>
      </c>
      <c r="C15" s="86" t="s">
        <v>371</v>
      </c>
      <c r="D15" s="86" t="s">
        <v>269</v>
      </c>
      <c r="E15" s="86" t="s">
        <v>20</v>
      </c>
      <c r="F15" s="86" t="s">
        <v>372</v>
      </c>
      <c r="G15" s="89" t="s">
        <v>302</v>
      </c>
      <c r="H15" s="89" t="s">
        <v>303</v>
      </c>
      <c r="I15" s="89" t="s">
        <v>373</v>
      </c>
      <c r="J15" s="89" t="s">
        <v>374</v>
      </c>
      <c r="K15" s="89" t="s">
        <v>375</v>
      </c>
      <c r="L15" s="89" t="s">
        <v>307</v>
      </c>
      <c r="M15" s="86" t="s">
        <v>340</v>
      </c>
      <c r="N15" s="86" t="s">
        <v>376</v>
      </c>
      <c r="O15" s="86" t="s">
        <v>26</v>
      </c>
      <c r="P15" s="86" t="s">
        <v>32</v>
      </c>
      <c r="Q15" s="86" t="s">
        <v>377</v>
      </c>
      <c r="R15" s="86" t="s">
        <v>32</v>
      </c>
      <c r="S15" s="86" t="s">
        <v>378</v>
      </c>
      <c r="T15" s="86" t="s">
        <v>379</v>
      </c>
    </row>
    <row r="16" spans="1:21" s="86" customFormat="1" ht="13.8">
      <c r="A16" s="86">
        <v>15</v>
      </c>
      <c r="B16" s="86" t="s">
        <v>344</v>
      </c>
      <c r="C16" s="86" t="s">
        <v>345</v>
      </c>
      <c r="D16" s="86" t="s">
        <v>354</v>
      </c>
      <c r="E16" s="86" t="s">
        <v>20</v>
      </c>
      <c r="F16" s="86" t="s">
        <v>25</v>
      </c>
      <c r="G16" s="89" t="s">
        <v>313</v>
      </c>
      <c r="H16" s="89" t="s">
        <v>330</v>
      </c>
      <c r="I16" s="89" t="s">
        <v>346</v>
      </c>
      <c r="J16" s="89" t="s">
        <v>348</v>
      </c>
      <c r="K16" s="89" t="s">
        <v>349</v>
      </c>
      <c r="L16" s="89" t="s">
        <v>347</v>
      </c>
      <c r="M16" s="86" t="s">
        <v>290</v>
      </c>
      <c r="N16" s="86" t="s">
        <v>277</v>
      </c>
      <c r="O16" s="86" t="s">
        <v>26</v>
      </c>
      <c r="P16" s="86" t="s">
        <v>25</v>
      </c>
      <c r="Q16" s="86" t="s">
        <v>350</v>
      </c>
      <c r="R16" s="86" t="s">
        <v>320</v>
      </c>
      <c r="S16" s="86" t="s">
        <v>320</v>
      </c>
      <c r="T16" s="86" t="s">
        <v>351</v>
      </c>
    </row>
    <row r="17" spans="1:20" s="86" customFormat="1" ht="13.8">
      <c r="A17" s="86">
        <v>16</v>
      </c>
      <c r="B17" s="86" t="s">
        <v>352</v>
      </c>
      <c r="C17" s="86" t="s">
        <v>353</v>
      </c>
      <c r="D17" s="86" t="s">
        <v>354</v>
      </c>
      <c r="E17" s="86" t="s">
        <v>20</v>
      </c>
      <c r="F17" s="86" t="s">
        <v>25</v>
      </c>
      <c r="G17" s="89" t="s">
        <v>313</v>
      </c>
      <c r="H17" s="89" t="s">
        <v>355</v>
      </c>
      <c r="I17" s="89" t="s">
        <v>356</v>
      </c>
      <c r="J17" s="89" t="s">
        <v>348</v>
      </c>
      <c r="K17" s="89" t="s">
        <v>357</v>
      </c>
      <c r="L17" s="89" t="s">
        <v>275</v>
      </c>
      <c r="M17" s="86" t="s">
        <v>290</v>
      </c>
      <c r="N17" s="86" t="s">
        <v>358</v>
      </c>
      <c r="O17" s="86" t="s">
        <v>26</v>
      </c>
      <c r="P17" s="86" t="s">
        <v>359</v>
      </c>
      <c r="Q17" s="86" t="s">
        <v>360</v>
      </c>
      <c r="R17" s="86" t="s">
        <v>320</v>
      </c>
      <c r="S17" s="86" t="s">
        <v>320</v>
      </c>
      <c r="T17" s="86" t="s">
        <v>351</v>
      </c>
    </row>
    <row r="18" spans="1:20" s="86" customFormat="1" ht="13.8">
      <c r="A18" s="82">
        <v>17</v>
      </c>
      <c r="B18" s="86" t="s">
        <v>361</v>
      </c>
      <c r="C18" s="86" t="s">
        <v>362</v>
      </c>
      <c r="D18" s="86" t="s">
        <v>354</v>
      </c>
      <c r="E18" s="86" t="s">
        <v>20</v>
      </c>
      <c r="F18" s="86" t="s">
        <v>25</v>
      </c>
      <c r="G18" s="89" t="s">
        <v>313</v>
      </c>
      <c r="H18" s="89" t="s">
        <v>355</v>
      </c>
      <c r="I18" s="89" t="s">
        <v>363</v>
      </c>
      <c r="J18" s="89" t="s">
        <v>348</v>
      </c>
      <c r="K18" s="89" t="s">
        <v>364</v>
      </c>
      <c r="L18" s="89" t="s">
        <v>365</v>
      </c>
      <c r="M18" s="86" t="s">
        <v>290</v>
      </c>
      <c r="N18" s="86" t="s">
        <v>277</v>
      </c>
      <c r="O18" s="86" t="s">
        <v>26</v>
      </c>
      <c r="P18" s="86" t="s">
        <v>32</v>
      </c>
      <c r="Q18" s="86" t="s">
        <v>366</v>
      </c>
      <c r="R18" s="86" t="s">
        <v>32</v>
      </c>
      <c r="S18" s="86" t="s">
        <v>369</v>
      </c>
      <c r="T18" s="86" t="s">
        <v>351</v>
      </c>
    </row>
    <row r="19" spans="1:20" s="86" customFormat="1" ht="13.8">
      <c r="A19" s="86">
        <v>18</v>
      </c>
      <c r="B19" s="86" t="s">
        <v>383</v>
      </c>
      <c r="C19" s="86" t="s">
        <v>380</v>
      </c>
      <c r="D19" s="86" t="s">
        <v>381</v>
      </c>
      <c r="E19" s="86" t="s">
        <v>382</v>
      </c>
      <c r="F19" s="86" t="s">
        <v>389</v>
      </c>
      <c r="G19" s="89" t="s">
        <v>388</v>
      </c>
      <c r="H19" s="89" t="s">
        <v>390</v>
      </c>
      <c r="I19" s="89" t="s">
        <v>391</v>
      </c>
      <c r="J19" s="89" t="s">
        <v>392</v>
      </c>
      <c r="K19" s="89" t="s">
        <v>393</v>
      </c>
      <c r="L19" s="89" t="s">
        <v>394</v>
      </c>
      <c r="M19" s="86" t="s">
        <v>395</v>
      </c>
      <c r="N19" s="86" t="s">
        <v>376</v>
      </c>
      <c r="O19" s="89" t="s">
        <v>396</v>
      </c>
      <c r="P19" s="86" t="s">
        <v>384</v>
      </c>
      <c r="Q19" s="86" t="s">
        <v>385</v>
      </c>
      <c r="R19" s="86" t="s">
        <v>386</v>
      </c>
      <c r="S19" s="86" t="s">
        <v>387</v>
      </c>
      <c r="T19" s="86" t="s">
        <v>381</v>
      </c>
    </row>
    <row r="20" spans="1:20" s="86" customFormat="1" ht="13.8">
      <c r="A20" s="86">
        <v>19</v>
      </c>
      <c r="B20" s="86" t="s">
        <v>397</v>
      </c>
      <c r="C20" s="86" t="s">
        <v>398</v>
      </c>
      <c r="D20" s="86" t="s">
        <v>269</v>
      </c>
      <c r="E20" s="86" t="s">
        <v>20</v>
      </c>
      <c r="F20" s="86" t="s">
        <v>372</v>
      </c>
      <c r="G20" s="89" t="s">
        <v>399</v>
      </c>
      <c r="H20" s="89" t="s">
        <v>400</v>
      </c>
      <c r="I20" s="89" t="s">
        <v>401</v>
      </c>
      <c r="J20" s="86" t="s">
        <v>320</v>
      </c>
      <c r="K20" s="88" t="s">
        <v>320</v>
      </c>
      <c r="L20" s="89" t="s">
        <v>402</v>
      </c>
      <c r="M20" s="86" t="s">
        <v>290</v>
      </c>
      <c r="N20" s="86" t="s">
        <v>403</v>
      </c>
      <c r="O20" s="86" t="s">
        <v>26</v>
      </c>
      <c r="P20" s="86" t="s">
        <v>32</v>
      </c>
      <c r="Q20" s="86" t="s">
        <v>404</v>
      </c>
      <c r="R20" s="86" t="s">
        <v>32</v>
      </c>
      <c r="S20" s="86" t="s">
        <v>405</v>
      </c>
      <c r="T20" s="86" t="s">
        <v>413</v>
      </c>
    </row>
    <row r="21" spans="1:20" s="86" customFormat="1" ht="13.8">
      <c r="A21" s="82">
        <v>20</v>
      </c>
      <c r="B21" s="86" t="s">
        <v>406</v>
      </c>
      <c r="C21" s="86" t="s">
        <v>407</v>
      </c>
      <c r="D21" s="86" t="s">
        <v>417</v>
      </c>
      <c r="E21" s="86" t="s">
        <v>20</v>
      </c>
      <c r="F21" s="86" t="s">
        <v>25</v>
      </c>
      <c r="G21" s="89" t="s">
        <v>313</v>
      </c>
      <c r="H21" s="89" t="s">
        <v>330</v>
      </c>
      <c r="I21" s="89" t="s">
        <v>408</v>
      </c>
      <c r="J21" s="89" t="s">
        <v>409</v>
      </c>
      <c r="K21" s="89" t="s">
        <v>410</v>
      </c>
      <c r="L21" s="89" t="s">
        <v>347</v>
      </c>
      <c r="M21" s="86" t="s">
        <v>290</v>
      </c>
      <c r="N21" s="86" t="s">
        <v>277</v>
      </c>
      <c r="O21" s="86" t="s">
        <v>26</v>
      </c>
      <c r="P21" s="86" t="s">
        <v>32</v>
      </c>
      <c r="Q21" s="86" t="s">
        <v>411</v>
      </c>
      <c r="R21" s="86" t="s">
        <v>32</v>
      </c>
      <c r="S21" s="86" t="s">
        <v>412</v>
      </c>
      <c r="T21" s="86" t="s">
        <v>414</v>
      </c>
    </row>
    <row r="22" spans="1:20" s="86" customFormat="1" ht="13.8">
      <c r="A22" s="86">
        <v>21</v>
      </c>
      <c r="B22" s="86" t="s">
        <v>415</v>
      </c>
      <c r="C22" s="86" t="s">
        <v>416</v>
      </c>
      <c r="D22" s="86" t="s">
        <v>418</v>
      </c>
      <c r="E22" s="86" t="s">
        <v>20</v>
      </c>
      <c r="F22" s="86" t="s">
        <v>25</v>
      </c>
      <c r="G22" s="89" t="s">
        <v>313</v>
      </c>
      <c r="H22" s="89" t="s">
        <v>330</v>
      </c>
      <c r="I22" s="89" t="s">
        <v>422</v>
      </c>
      <c r="J22" s="89" t="s">
        <v>409</v>
      </c>
      <c r="K22" s="89" t="s">
        <v>423</v>
      </c>
      <c r="L22" s="89" t="s">
        <v>275</v>
      </c>
      <c r="M22" s="86" t="s">
        <v>276</v>
      </c>
      <c r="N22" s="86" t="s">
        <v>376</v>
      </c>
      <c r="O22" s="86" t="s">
        <v>26</v>
      </c>
      <c r="P22" s="86" t="s">
        <v>25</v>
      </c>
      <c r="Q22" s="86" t="s">
        <v>419</v>
      </c>
      <c r="R22" s="86" t="s">
        <v>32</v>
      </c>
      <c r="S22" s="86" t="s">
        <v>420</v>
      </c>
      <c r="T22" s="86" t="s">
        <v>421</v>
      </c>
    </row>
    <row r="23" spans="1:20" s="86" customFormat="1" ht="13.8">
      <c r="A23" s="82">
        <v>22</v>
      </c>
      <c r="B23" s="86" t="s">
        <v>424</v>
      </c>
      <c r="C23" s="86" t="s">
        <v>425</v>
      </c>
      <c r="D23" s="86" t="s">
        <v>426</v>
      </c>
      <c r="E23" s="86" t="s">
        <v>20</v>
      </c>
      <c r="F23" s="86" t="s">
        <v>25</v>
      </c>
      <c r="G23" s="89" t="s">
        <v>313</v>
      </c>
      <c r="H23" s="89" t="s">
        <v>355</v>
      </c>
      <c r="I23" s="89" t="s">
        <v>427</v>
      </c>
      <c r="J23" s="89" t="s">
        <v>409</v>
      </c>
      <c r="K23" s="89" t="s">
        <v>428</v>
      </c>
      <c r="L23" s="89" t="s">
        <v>275</v>
      </c>
      <c r="M23" s="86" t="s">
        <v>429</v>
      </c>
      <c r="N23" s="86" t="s">
        <v>137</v>
      </c>
      <c r="O23" s="86" t="s">
        <v>26</v>
      </c>
      <c r="P23" s="86" t="s">
        <v>25</v>
      </c>
      <c r="Q23" s="86" t="s">
        <v>430</v>
      </c>
      <c r="R23" s="86" t="s">
        <v>32</v>
      </c>
      <c r="S23" s="86" t="s">
        <v>431</v>
      </c>
      <c r="T23" s="86" t="s">
        <v>432</v>
      </c>
    </row>
    <row r="24" spans="1:20" s="86" customFormat="1" ht="13.8">
      <c r="A24" s="86">
        <v>23</v>
      </c>
      <c r="B24" s="86" t="s">
        <v>433</v>
      </c>
      <c r="C24" s="86" t="s">
        <v>434</v>
      </c>
      <c r="D24" s="86" t="s">
        <v>435</v>
      </c>
      <c r="E24" s="86" t="s">
        <v>20</v>
      </c>
      <c r="F24" s="86" t="s">
        <v>372</v>
      </c>
      <c r="G24" s="89" t="s">
        <v>399</v>
      </c>
      <c r="H24" s="89" t="s">
        <v>400</v>
      </c>
      <c r="I24" s="89" t="s">
        <v>436</v>
      </c>
      <c r="J24" s="89" t="s">
        <v>437</v>
      </c>
      <c r="K24" s="89" t="s">
        <v>438</v>
      </c>
      <c r="L24" s="89" t="s">
        <v>402</v>
      </c>
      <c r="M24" s="86" t="s">
        <v>290</v>
      </c>
      <c r="N24" s="86" t="s">
        <v>403</v>
      </c>
      <c r="O24" s="86" t="s">
        <v>26</v>
      </c>
      <c r="P24" s="86" t="s">
        <v>25</v>
      </c>
      <c r="Q24" s="86" t="s">
        <v>439</v>
      </c>
      <c r="R24" s="86" t="s">
        <v>32</v>
      </c>
      <c r="S24" s="86" t="s">
        <v>440</v>
      </c>
      <c r="T24" s="86" t="s">
        <v>441</v>
      </c>
    </row>
    <row r="25" spans="1:20" s="86" customFormat="1" ht="13.8">
      <c r="A25" s="86">
        <v>24</v>
      </c>
      <c r="B25" s="86" t="s">
        <v>449</v>
      </c>
      <c r="C25" s="86" t="s">
        <v>447</v>
      </c>
      <c r="D25" s="86" t="s">
        <v>448</v>
      </c>
      <c r="E25" s="86" t="s">
        <v>20</v>
      </c>
      <c r="F25" s="83" t="s">
        <v>21</v>
      </c>
      <c r="G25" s="83" t="s">
        <v>399</v>
      </c>
      <c r="H25" s="83" t="s">
        <v>400</v>
      </c>
      <c r="I25" s="83" t="s">
        <v>450</v>
      </c>
      <c r="J25" s="83" t="s">
        <v>451</v>
      </c>
      <c r="K25" s="83" t="s">
        <v>452</v>
      </c>
      <c r="L25" s="83" t="s">
        <v>402</v>
      </c>
      <c r="M25" s="86" t="s">
        <v>290</v>
      </c>
      <c r="N25" s="86" t="s">
        <v>403</v>
      </c>
      <c r="O25" s="86" t="s">
        <v>26</v>
      </c>
      <c r="P25" s="86" t="s">
        <v>32</v>
      </c>
      <c r="Q25" s="86" t="s">
        <v>366</v>
      </c>
      <c r="R25" s="86" t="s">
        <v>32</v>
      </c>
      <c r="S25" s="86" t="s">
        <v>453</v>
      </c>
      <c r="T25" s="86" t="s">
        <v>454</v>
      </c>
    </row>
    <row r="26" spans="1:20" s="86" customFormat="1" ht="13.8">
      <c r="A26" s="86">
        <v>25</v>
      </c>
      <c r="B26" s="86" t="s">
        <v>455</v>
      </c>
      <c r="C26" s="86" t="s">
        <v>456</v>
      </c>
      <c r="D26" s="86" t="s">
        <v>448</v>
      </c>
      <c r="E26" s="86" t="s">
        <v>20</v>
      </c>
      <c r="F26" s="83" t="s">
        <v>21</v>
      </c>
      <c r="G26" s="83" t="s">
        <v>399</v>
      </c>
      <c r="H26" s="83" t="s">
        <v>400</v>
      </c>
      <c r="I26" s="89" t="s">
        <v>457</v>
      </c>
      <c r="J26" s="89" t="s">
        <v>451</v>
      </c>
      <c r="K26" s="89" t="s">
        <v>458</v>
      </c>
      <c r="L26" s="89" t="s">
        <v>402</v>
      </c>
      <c r="M26" s="86" t="s">
        <v>290</v>
      </c>
      <c r="N26" s="86" t="s">
        <v>277</v>
      </c>
      <c r="O26" s="86" t="s">
        <v>26</v>
      </c>
      <c r="P26" s="86" t="s">
        <v>372</v>
      </c>
      <c r="Q26" s="86" t="s">
        <v>459</v>
      </c>
      <c r="R26" s="86" t="s">
        <v>32</v>
      </c>
      <c r="S26" s="86" t="s">
        <v>412</v>
      </c>
      <c r="T26" s="86" t="s">
        <v>460</v>
      </c>
    </row>
    <row r="27" spans="1:20" s="86" customFormat="1" ht="13.8">
      <c r="A27" s="86">
        <v>26</v>
      </c>
      <c r="B27" s="86" t="s">
        <v>461</v>
      </c>
      <c r="C27" s="86" t="s">
        <v>462</v>
      </c>
      <c r="D27" s="86" t="s">
        <v>448</v>
      </c>
      <c r="E27" s="86" t="s">
        <v>20</v>
      </c>
      <c r="F27" s="86" t="s">
        <v>25</v>
      </c>
      <c r="G27" s="89" t="s">
        <v>313</v>
      </c>
      <c r="H27" s="89" t="s">
        <v>336</v>
      </c>
      <c r="I27" s="86" t="s">
        <v>285</v>
      </c>
      <c r="J27" s="89" t="s">
        <v>451</v>
      </c>
      <c r="K27" s="89" t="s">
        <v>463</v>
      </c>
      <c r="L27" s="89" t="s">
        <v>464</v>
      </c>
      <c r="M27" s="86" t="s">
        <v>290</v>
      </c>
      <c r="N27" s="86" t="s">
        <v>465</v>
      </c>
      <c r="O27" s="86" t="s">
        <v>26</v>
      </c>
      <c r="P27" s="86" t="s">
        <v>341</v>
      </c>
      <c r="Q27" s="86" t="s">
        <v>466</v>
      </c>
      <c r="R27" s="86" t="s">
        <v>32</v>
      </c>
      <c r="S27" s="86" t="s">
        <v>467</v>
      </c>
      <c r="T27" s="86" t="s">
        <v>468</v>
      </c>
    </row>
    <row r="28" spans="1:20" s="86" customFormat="1" ht="13.8">
      <c r="K28" s="88"/>
    </row>
    <row r="29" spans="1:20" s="86" customFormat="1" ht="13.8">
      <c r="K29" s="88"/>
    </row>
    <row r="30" spans="1:20" s="86" customFormat="1" ht="13.8">
      <c r="K30" s="88"/>
    </row>
    <row r="31" spans="1:20" s="86" customFormat="1" ht="13.8">
      <c r="K31" s="88"/>
    </row>
    <row r="32" spans="1:20" s="86" customFormat="1" ht="13.8">
      <c r="K32" s="88"/>
    </row>
    <row r="33" spans="11:11" s="86" customFormat="1" ht="13.8">
      <c r="K33" s="88"/>
    </row>
    <row r="34" spans="11:11" s="86" customFormat="1" ht="13.8">
      <c r="K34" s="88"/>
    </row>
    <row r="35" spans="11:11" s="86" customFormat="1" ht="13.8">
      <c r="K35" s="88"/>
    </row>
    <row r="36" spans="11:11" s="86" customFormat="1" ht="13.8">
      <c r="K36" s="88"/>
    </row>
    <row r="37" spans="11:11" s="86" customFormat="1" ht="13.8">
      <c r="K37" s="88"/>
    </row>
    <row r="38" spans="11:11" s="86" customFormat="1" ht="13.8">
      <c r="K38" s="88"/>
    </row>
    <row r="39" spans="11:11" s="86" customFormat="1" ht="13.8">
      <c r="K39" s="88"/>
    </row>
    <row r="40" spans="11:11" s="86" customFormat="1" ht="13.8">
      <c r="K40" s="88"/>
    </row>
    <row r="41" spans="11:11" s="86" customFormat="1" ht="13.8">
      <c r="K41" s="88"/>
    </row>
    <row r="42" spans="11:11" s="86" customFormat="1" ht="13.8">
      <c r="K42" s="88"/>
    </row>
    <row r="43" spans="11:11" s="86" customFormat="1" ht="13.8">
      <c r="K43" s="88"/>
    </row>
    <row r="44" spans="11:11" s="86" customFormat="1" ht="13.8">
      <c r="K44" s="88"/>
    </row>
    <row r="45" spans="11:11" s="86" customFormat="1" ht="13.8">
      <c r="K45" s="88"/>
    </row>
    <row r="46" spans="11:11" s="86" customFormat="1" ht="13.8">
      <c r="K46" s="88"/>
    </row>
  </sheetData>
  <mergeCells count="1">
    <mergeCell ref="A1:U1"/>
  </mergeCells>
  <phoneticPr fontId="38" type="noConversion"/>
  <pageMargins left="0.25" right="0.25" top="0.75" bottom="0.75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U81"/>
  <sheetViews>
    <sheetView topLeftCell="F66" zoomScale="103" zoomScaleNormal="85" workbookViewId="0">
      <selection activeCell="J81" sqref="J81"/>
    </sheetView>
  </sheetViews>
  <sheetFormatPr defaultColWidth="9.109375" defaultRowHeight="14.4"/>
  <cols>
    <col min="1" max="1" width="5.109375" style="67" bestFit="1" customWidth="1"/>
    <col min="2" max="2" width="16.5546875" style="67" bestFit="1" customWidth="1"/>
    <col min="3" max="3" width="25.5546875" style="67" bestFit="1" customWidth="1"/>
    <col min="4" max="4" width="16.33203125" style="67" bestFit="1" customWidth="1"/>
    <col min="5" max="5" width="15.5546875" style="67" customWidth="1"/>
    <col min="6" max="6" width="18.5546875" style="67" customWidth="1"/>
    <col min="7" max="7" width="39.88671875" style="67" bestFit="1" customWidth="1"/>
    <col min="8" max="8" width="32.109375" style="67" customWidth="1"/>
    <col min="9" max="9" width="30.33203125" style="67" bestFit="1" customWidth="1"/>
    <col min="10" max="10" width="29.5546875" style="67" bestFit="1" customWidth="1"/>
    <col min="11" max="11" width="31.44140625" style="66" bestFit="1" customWidth="1"/>
    <col min="12" max="12" width="28.44140625" style="67" customWidth="1"/>
    <col min="13" max="13" width="12.109375" style="67" bestFit="1" customWidth="1"/>
    <col min="14" max="14" width="19.33203125" style="67" bestFit="1" customWidth="1"/>
    <col min="15" max="15" width="36.5546875" style="67" customWidth="1"/>
    <col min="16" max="16" width="21.6640625" style="67" customWidth="1"/>
    <col min="17" max="17" width="32.33203125" style="98" bestFit="1" customWidth="1"/>
    <col min="18" max="18" width="21.6640625" style="67" customWidth="1"/>
    <col min="19" max="19" width="33.5546875" style="67" bestFit="1" customWidth="1"/>
    <col min="20" max="20" width="16.33203125" style="67" bestFit="1" customWidth="1"/>
    <col min="21" max="21" width="72.44140625" style="67" bestFit="1" customWidth="1"/>
    <col min="22" max="16384" width="9.109375" style="67"/>
  </cols>
  <sheetData>
    <row r="1" spans="1:21" ht="17.399999999999999">
      <c r="A1" s="110" t="s">
        <v>248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</row>
    <row r="2" spans="1:21" ht="15.6">
      <c r="A2" s="64" t="s">
        <v>2</v>
      </c>
      <c r="B2" s="64" t="s">
        <v>1</v>
      </c>
      <c r="C2" s="64" t="s">
        <v>3</v>
      </c>
      <c r="D2" s="64" t="s">
        <v>5</v>
      </c>
      <c r="E2" s="64" t="s">
        <v>6</v>
      </c>
      <c r="F2" s="64" t="s">
        <v>7</v>
      </c>
      <c r="G2" s="64" t="s">
        <v>8</v>
      </c>
      <c r="H2" s="64" t="s">
        <v>9</v>
      </c>
      <c r="I2" s="64" t="s">
        <v>10</v>
      </c>
      <c r="J2" s="64" t="s">
        <v>11</v>
      </c>
      <c r="K2" s="65" t="s">
        <v>12</v>
      </c>
      <c r="L2" s="64" t="s">
        <v>13</v>
      </c>
      <c r="M2" s="64" t="s">
        <v>14</v>
      </c>
      <c r="N2" s="64" t="s">
        <v>15</v>
      </c>
      <c r="O2" s="64" t="s">
        <v>16</v>
      </c>
      <c r="P2" s="64" t="s">
        <v>89</v>
      </c>
      <c r="Q2" s="95" t="s">
        <v>10</v>
      </c>
      <c r="R2" s="64" t="s">
        <v>234</v>
      </c>
      <c r="S2" s="64" t="s">
        <v>10</v>
      </c>
      <c r="T2" s="64" t="s">
        <v>17</v>
      </c>
      <c r="U2" s="64" t="s">
        <v>19</v>
      </c>
    </row>
    <row r="3" spans="1:21" s="90" customFormat="1" ht="13.2">
      <c r="A3" s="93">
        <v>1</v>
      </c>
      <c r="B3" s="90" t="s">
        <v>493</v>
      </c>
      <c r="C3" s="90" t="s">
        <v>488</v>
      </c>
      <c r="D3" s="90" t="s">
        <v>471</v>
      </c>
      <c r="E3" s="90" t="s">
        <v>472</v>
      </c>
      <c r="F3" s="91" t="s">
        <v>473</v>
      </c>
      <c r="G3" s="91" t="s">
        <v>474</v>
      </c>
      <c r="H3" s="91" t="s">
        <v>475</v>
      </c>
      <c r="I3" s="91" t="s">
        <v>489</v>
      </c>
      <c r="J3" s="91" t="s">
        <v>477</v>
      </c>
      <c r="K3" s="94" t="s">
        <v>492</v>
      </c>
      <c r="L3" s="91" t="s">
        <v>479</v>
      </c>
      <c r="M3" s="90" t="s">
        <v>480</v>
      </c>
      <c r="N3" s="90" t="s">
        <v>481</v>
      </c>
      <c r="O3" s="90" t="s">
        <v>482</v>
      </c>
      <c r="P3" s="90" t="s">
        <v>32</v>
      </c>
      <c r="Q3" s="96" t="s">
        <v>491</v>
      </c>
      <c r="R3" s="90" t="s">
        <v>32</v>
      </c>
      <c r="S3" s="93" t="s">
        <v>490</v>
      </c>
      <c r="T3" s="90" t="s">
        <v>485</v>
      </c>
      <c r="U3" s="90" t="s">
        <v>486</v>
      </c>
    </row>
    <row r="4" spans="1:21" s="90" customFormat="1" ht="13.2">
      <c r="A4" s="90">
        <v>2</v>
      </c>
      <c r="B4" s="90" t="s">
        <v>493</v>
      </c>
      <c r="C4" s="90" t="s">
        <v>470</v>
      </c>
      <c r="D4" s="90" t="s">
        <v>471</v>
      </c>
      <c r="E4" s="90" t="s">
        <v>472</v>
      </c>
      <c r="F4" s="91" t="s">
        <v>473</v>
      </c>
      <c r="G4" s="91" t="s">
        <v>474</v>
      </c>
      <c r="H4" s="91" t="s">
        <v>475</v>
      </c>
      <c r="I4" s="91" t="s">
        <v>476</v>
      </c>
      <c r="J4" s="91" t="s">
        <v>477</v>
      </c>
      <c r="K4" s="92" t="s">
        <v>478</v>
      </c>
      <c r="L4" s="91" t="s">
        <v>479</v>
      </c>
      <c r="M4" s="90" t="s">
        <v>480</v>
      </c>
      <c r="N4" s="90" t="s">
        <v>481</v>
      </c>
      <c r="O4" s="90" t="s">
        <v>482</v>
      </c>
      <c r="P4" s="90" t="s">
        <v>32</v>
      </c>
      <c r="Q4" s="96" t="s">
        <v>483</v>
      </c>
      <c r="R4" s="90" t="s">
        <v>32</v>
      </c>
      <c r="S4" s="90" t="s">
        <v>484</v>
      </c>
      <c r="T4" s="90" t="s">
        <v>485</v>
      </c>
      <c r="U4" s="90" t="s">
        <v>486</v>
      </c>
    </row>
    <row r="5" spans="1:21" s="86" customFormat="1" ht="13.8">
      <c r="A5" s="86">
        <v>3</v>
      </c>
      <c r="B5" s="86" t="s">
        <v>487</v>
      </c>
      <c r="C5" s="86" t="s">
        <v>487</v>
      </c>
      <c r="D5" s="86" t="s">
        <v>471</v>
      </c>
      <c r="E5" s="86" t="s">
        <v>494</v>
      </c>
      <c r="F5" s="86" t="s">
        <v>495</v>
      </c>
      <c r="G5" s="86" t="s">
        <v>495</v>
      </c>
      <c r="H5" s="86" t="s">
        <v>496</v>
      </c>
      <c r="I5" s="86" t="s">
        <v>497</v>
      </c>
      <c r="J5" s="86" t="s">
        <v>498</v>
      </c>
      <c r="K5" s="88">
        <v>221012798314</v>
      </c>
      <c r="L5" s="86" t="s">
        <v>320</v>
      </c>
      <c r="M5" s="86" t="s">
        <v>320</v>
      </c>
      <c r="N5" s="86" t="s">
        <v>320</v>
      </c>
      <c r="O5" s="86" t="s">
        <v>482</v>
      </c>
      <c r="P5" s="86" t="s">
        <v>32</v>
      </c>
      <c r="Q5" s="97" t="s">
        <v>499</v>
      </c>
      <c r="R5" s="86" t="s">
        <v>32</v>
      </c>
      <c r="S5" s="86" t="s">
        <v>500</v>
      </c>
      <c r="T5" s="86" t="s">
        <v>485</v>
      </c>
    </row>
    <row r="6" spans="1:21" s="86" customFormat="1" ht="13.8">
      <c r="A6" s="86">
        <v>4</v>
      </c>
      <c r="B6" s="86" t="s">
        <v>469</v>
      </c>
      <c r="C6" s="86" t="s">
        <v>469</v>
      </c>
      <c r="D6" s="86" t="s">
        <v>471</v>
      </c>
      <c r="E6" s="86" t="s">
        <v>494</v>
      </c>
      <c r="F6" s="86" t="s">
        <v>495</v>
      </c>
      <c r="G6" s="86" t="s">
        <v>495</v>
      </c>
      <c r="H6" s="86" t="s">
        <v>539</v>
      </c>
      <c r="I6" s="86" t="s">
        <v>540</v>
      </c>
      <c r="J6" s="86" t="s">
        <v>498</v>
      </c>
      <c r="K6" s="88">
        <v>221015268314</v>
      </c>
      <c r="L6" s="86" t="s">
        <v>320</v>
      </c>
      <c r="M6" s="86" t="s">
        <v>320</v>
      </c>
      <c r="N6" s="86" t="s">
        <v>320</v>
      </c>
      <c r="O6" s="86" t="s">
        <v>482</v>
      </c>
      <c r="P6" s="86" t="s">
        <v>32</v>
      </c>
      <c r="Q6" s="97" t="s">
        <v>541</v>
      </c>
      <c r="R6" s="86" t="s">
        <v>32</v>
      </c>
      <c r="S6" s="86" t="s">
        <v>542</v>
      </c>
      <c r="T6" s="86" t="s">
        <v>485</v>
      </c>
    </row>
    <row r="7" spans="1:21" s="86" customFormat="1" ht="13.8">
      <c r="A7" s="86">
        <v>5</v>
      </c>
      <c r="B7" s="86" t="s">
        <v>501</v>
      </c>
      <c r="C7" s="86" t="s">
        <v>501</v>
      </c>
      <c r="D7" s="86" t="s">
        <v>471</v>
      </c>
      <c r="E7" s="86" t="s">
        <v>494</v>
      </c>
      <c r="F7" s="86" t="s">
        <v>495</v>
      </c>
      <c r="G7" s="86" t="s">
        <v>495</v>
      </c>
      <c r="H7" s="86" t="s">
        <v>543</v>
      </c>
      <c r="I7" s="86" t="s">
        <v>544</v>
      </c>
      <c r="J7" s="86" t="s">
        <v>498</v>
      </c>
      <c r="K7" s="88">
        <v>221013353314</v>
      </c>
      <c r="L7" s="86" t="s">
        <v>320</v>
      </c>
      <c r="M7" s="86" t="s">
        <v>320</v>
      </c>
      <c r="N7" s="86" t="s">
        <v>320</v>
      </c>
      <c r="O7" s="86" t="s">
        <v>482</v>
      </c>
      <c r="P7" s="86" t="s">
        <v>32</v>
      </c>
      <c r="Q7" s="97" t="s">
        <v>548</v>
      </c>
      <c r="R7" s="86" t="s">
        <v>32</v>
      </c>
      <c r="S7" s="86" t="s">
        <v>545</v>
      </c>
      <c r="T7" s="86" t="s">
        <v>485</v>
      </c>
    </row>
    <row r="8" spans="1:21" s="86" customFormat="1" ht="13.8">
      <c r="A8" s="86">
        <v>6</v>
      </c>
      <c r="B8" s="86" t="s">
        <v>502</v>
      </c>
      <c r="C8" s="86" t="s">
        <v>502</v>
      </c>
      <c r="D8" s="86" t="s">
        <v>471</v>
      </c>
      <c r="E8" s="86" t="s">
        <v>494</v>
      </c>
      <c r="F8" s="86" t="s">
        <v>495</v>
      </c>
      <c r="G8" s="86" t="s">
        <v>495</v>
      </c>
      <c r="H8" s="86" t="s">
        <v>546</v>
      </c>
      <c r="I8" s="86" t="s">
        <v>547</v>
      </c>
      <c r="J8" s="86" t="s">
        <v>498</v>
      </c>
      <c r="K8" s="88">
        <v>22101959314</v>
      </c>
      <c r="L8" s="86" t="s">
        <v>320</v>
      </c>
      <c r="M8" s="86" t="s">
        <v>320</v>
      </c>
      <c r="N8" s="86" t="s">
        <v>320</v>
      </c>
      <c r="O8" s="86" t="s">
        <v>482</v>
      </c>
      <c r="P8" s="86" t="s">
        <v>32</v>
      </c>
      <c r="Q8" s="97" t="s">
        <v>549</v>
      </c>
      <c r="R8" s="86" t="s">
        <v>32</v>
      </c>
      <c r="S8" s="86" t="s">
        <v>550</v>
      </c>
      <c r="T8" s="86" t="s">
        <v>485</v>
      </c>
    </row>
    <row r="9" spans="1:21" s="86" customFormat="1" ht="13.8">
      <c r="A9" s="86">
        <v>7</v>
      </c>
      <c r="B9" s="86" t="s">
        <v>503</v>
      </c>
      <c r="C9" s="86" t="s">
        <v>503</v>
      </c>
      <c r="D9" s="86" t="s">
        <v>471</v>
      </c>
      <c r="E9" s="86" t="s">
        <v>494</v>
      </c>
      <c r="F9" s="86" t="s">
        <v>495</v>
      </c>
      <c r="G9" s="86" t="s">
        <v>495</v>
      </c>
      <c r="H9" s="86" t="s">
        <v>551</v>
      </c>
      <c r="I9" s="86" t="s">
        <v>552</v>
      </c>
      <c r="J9" s="86" t="s">
        <v>498</v>
      </c>
      <c r="K9" s="88">
        <v>221012481314</v>
      </c>
      <c r="L9" s="86" t="s">
        <v>320</v>
      </c>
      <c r="M9" s="86" t="s">
        <v>320</v>
      </c>
      <c r="N9" s="86" t="s">
        <v>320</v>
      </c>
      <c r="O9" s="86" t="s">
        <v>482</v>
      </c>
      <c r="P9" s="86" t="s">
        <v>32</v>
      </c>
      <c r="Q9" s="97" t="s">
        <v>553</v>
      </c>
      <c r="R9" s="86" t="s">
        <v>32</v>
      </c>
      <c r="S9" s="86" t="s">
        <v>554</v>
      </c>
      <c r="T9" s="86" t="s">
        <v>485</v>
      </c>
    </row>
    <row r="10" spans="1:21" s="86" customFormat="1" ht="13.8">
      <c r="A10" s="86">
        <v>8</v>
      </c>
      <c r="B10" s="86" t="s">
        <v>504</v>
      </c>
      <c r="C10" s="86" t="s">
        <v>504</v>
      </c>
      <c r="D10" s="86" t="s">
        <v>471</v>
      </c>
      <c r="E10" s="86" t="s">
        <v>494</v>
      </c>
      <c r="F10" s="86" t="s">
        <v>495</v>
      </c>
      <c r="G10" s="86" t="s">
        <v>495</v>
      </c>
      <c r="H10" s="86" t="s">
        <v>555</v>
      </c>
      <c r="I10" s="86" t="s">
        <v>556</v>
      </c>
      <c r="J10" s="86" t="s">
        <v>498</v>
      </c>
      <c r="K10" s="88">
        <v>221014147314</v>
      </c>
      <c r="L10" s="86" t="s">
        <v>320</v>
      </c>
      <c r="M10" s="86" t="s">
        <v>320</v>
      </c>
      <c r="N10" s="86" t="s">
        <v>320</v>
      </c>
      <c r="O10" s="86" t="s">
        <v>482</v>
      </c>
      <c r="P10" s="86" t="s">
        <v>32</v>
      </c>
      <c r="Q10" s="97" t="s">
        <v>560</v>
      </c>
      <c r="R10" s="86" t="s">
        <v>32</v>
      </c>
      <c r="S10" s="86" t="s">
        <v>557</v>
      </c>
      <c r="T10" s="86" t="s">
        <v>485</v>
      </c>
    </row>
    <row r="11" spans="1:21" s="86" customFormat="1" ht="13.8">
      <c r="A11" s="86">
        <v>9</v>
      </c>
      <c r="B11" s="86" t="s">
        <v>505</v>
      </c>
      <c r="C11" s="86" t="s">
        <v>505</v>
      </c>
      <c r="D11" s="86" t="s">
        <v>471</v>
      </c>
      <c r="E11" s="86" t="s">
        <v>494</v>
      </c>
      <c r="F11" s="86" t="s">
        <v>495</v>
      </c>
      <c r="G11" s="86" t="s">
        <v>495</v>
      </c>
      <c r="H11" s="86" t="s">
        <v>558</v>
      </c>
      <c r="I11" s="86" t="s">
        <v>559</v>
      </c>
      <c r="J11" s="86" t="s">
        <v>498</v>
      </c>
      <c r="K11" s="88">
        <v>221012964314</v>
      </c>
      <c r="L11" s="86" t="s">
        <v>320</v>
      </c>
      <c r="M11" s="86" t="s">
        <v>320</v>
      </c>
      <c r="N11" s="86" t="s">
        <v>320</v>
      </c>
      <c r="O11" s="86" t="s">
        <v>482</v>
      </c>
      <c r="P11" s="86" t="s">
        <v>32</v>
      </c>
      <c r="Q11" s="97" t="s">
        <v>561</v>
      </c>
      <c r="R11" s="86" t="s">
        <v>32</v>
      </c>
      <c r="S11" s="86" t="s">
        <v>562</v>
      </c>
      <c r="T11" s="86" t="s">
        <v>485</v>
      </c>
    </row>
    <row r="12" spans="1:21" s="86" customFormat="1" ht="13.8">
      <c r="A12" s="86">
        <v>10</v>
      </c>
      <c r="B12" s="86" t="s">
        <v>506</v>
      </c>
      <c r="C12" s="86" t="s">
        <v>506</v>
      </c>
      <c r="D12" s="86" t="s">
        <v>471</v>
      </c>
      <c r="E12" s="86" t="s">
        <v>494</v>
      </c>
      <c r="F12" s="86" t="s">
        <v>495</v>
      </c>
      <c r="G12" s="86" t="s">
        <v>495</v>
      </c>
      <c r="H12" s="86" t="s">
        <v>563</v>
      </c>
      <c r="I12" s="86" t="s">
        <v>564</v>
      </c>
      <c r="J12" s="86" t="s">
        <v>498</v>
      </c>
      <c r="K12" s="88">
        <v>221010661314</v>
      </c>
      <c r="L12" s="86" t="s">
        <v>320</v>
      </c>
      <c r="M12" s="86" t="s">
        <v>320</v>
      </c>
      <c r="N12" s="86" t="s">
        <v>320</v>
      </c>
      <c r="O12" s="86" t="s">
        <v>482</v>
      </c>
      <c r="P12" s="86" t="s">
        <v>32</v>
      </c>
      <c r="Q12" s="97" t="s">
        <v>565</v>
      </c>
      <c r="R12" s="86" t="s">
        <v>32</v>
      </c>
      <c r="S12" s="86" t="s">
        <v>566</v>
      </c>
      <c r="T12" s="86" t="s">
        <v>485</v>
      </c>
    </row>
    <row r="13" spans="1:21" s="86" customFormat="1" ht="13.8">
      <c r="A13" s="86">
        <v>11</v>
      </c>
      <c r="B13" s="86" t="s">
        <v>507</v>
      </c>
      <c r="C13" s="86" t="s">
        <v>507</v>
      </c>
      <c r="D13" s="86" t="s">
        <v>471</v>
      </c>
      <c r="E13" s="86" t="s">
        <v>494</v>
      </c>
      <c r="F13" s="86" t="s">
        <v>495</v>
      </c>
      <c r="G13" s="86" t="s">
        <v>495</v>
      </c>
      <c r="H13" s="86" t="s">
        <v>567</v>
      </c>
      <c r="I13" s="86" t="s">
        <v>568</v>
      </c>
      <c r="J13" s="86" t="s">
        <v>498</v>
      </c>
      <c r="K13" s="88">
        <v>221015228314</v>
      </c>
      <c r="L13" s="86" t="s">
        <v>320</v>
      </c>
      <c r="M13" s="86" t="s">
        <v>320</v>
      </c>
      <c r="N13" s="86" t="s">
        <v>320</v>
      </c>
      <c r="O13" s="86" t="s">
        <v>482</v>
      </c>
      <c r="P13" s="86" t="s">
        <v>32</v>
      </c>
      <c r="Q13" s="97" t="s">
        <v>569</v>
      </c>
      <c r="R13" s="86" t="s">
        <v>32</v>
      </c>
      <c r="S13" s="86" t="s">
        <v>570</v>
      </c>
      <c r="T13" s="86" t="s">
        <v>485</v>
      </c>
    </row>
    <row r="14" spans="1:21" s="86" customFormat="1" ht="13.8">
      <c r="A14" s="86">
        <v>12</v>
      </c>
      <c r="B14" s="86" t="s">
        <v>508</v>
      </c>
      <c r="C14" s="86" t="s">
        <v>508</v>
      </c>
      <c r="D14" s="86" t="s">
        <v>471</v>
      </c>
      <c r="E14" s="86" t="s">
        <v>494</v>
      </c>
      <c r="F14" s="86" t="s">
        <v>495</v>
      </c>
      <c r="G14" s="86" t="s">
        <v>495</v>
      </c>
      <c r="H14" s="86" t="s">
        <v>571</v>
      </c>
      <c r="I14" s="86" t="s">
        <v>572</v>
      </c>
      <c r="J14" s="86" t="s">
        <v>498</v>
      </c>
      <c r="K14" s="88">
        <v>221012034314</v>
      </c>
      <c r="L14" s="86" t="s">
        <v>320</v>
      </c>
      <c r="M14" s="86" t="s">
        <v>320</v>
      </c>
      <c r="N14" s="86" t="s">
        <v>320</v>
      </c>
      <c r="O14" s="86" t="s">
        <v>482</v>
      </c>
      <c r="P14" s="86" t="s">
        <v>32</v>
      </c>
      <c r="Q14" s="97" t="s">
        <v>573</v>
      </c>
      <c r="R14" s="86" t="s">
        <v>32</v>
      </c>
      <c r="S14" s="86" t="s">
        <v>574</v>
      </c>
      <c r="T14" s="86" t="s">
        <v>485</v>
      </c>
    </row>
    <row r="15" spans="1:21" s="86" customFormat="1" ht="13.8">
      <c r="A15" s="86">
        <v>13</v>
      </c>
      <c r="B15" s="86" t="s">
        <v>509</v>
      </c>
      <c r="C15" s="86" t="s">
        <v>509</v>
      </c>
      <c r="D15" s="86" t="s">
        <v>471</v>
      </c>
      <c r="E15" s="86" t="s">
        <v>494</v>
      </c>
      <c r="F15" s="86" t="s">
        <v>495</v>
      </c>
      <c r="G15" s="86" t="s">
        <v>495</v>
      </c>
      <c r="H15" s="86" t="s">
        <v>575</v>
      </c>
      <c r="I15" s="86" t="s">
        <v>572</v>
      </c>
      <c r="J15" s="86" t="s">
        <v>498</v>
      </c>
      <c r="K15" s="88">
        <v>221015273314</v>
      </c>
      <c r="L15" s="86" t="s">
        <v>320</v>
      </c>
      <c r="M15" s="86" t="s">
        <v>320</v>
      </c>
      <c r="N15" s="86" t="s">
        <v>320</v>
      </c>
      <c r="O15" s="86" t="s">
        <v>482</v>
      </c>
      <c r="P15" s="86" t="s">
        <v>32</v>
      </c>
      <c r="Q15" s="97" t="s">
        <v>576</v>
      </c>
      <c r="R15" s="86" t="s">
        <v>32</v>
      </c>
      <c r="S15" s="86" t="s">
        <v>577</v>
      </c>
      <c r="T15" s="86" t="s">
        <v>485</v>
      </c>
    </row>
    <row r="16" spans="1:21" s="86" customFormat="1" ht="13.8">
      <c r="A16" s="86">
        <v>14</v>
      </c>
      <c r="B16" s="86" t="s">
        <v>510</v>
      </c>
      <c r="C16" s="86" t="s">
        <v>510</v>
      </c>
      <c r="D16" s="86" t="s">
        <v>471</v>
      </c>
      <c r="E16" s="86" t="s">
        <v>494</v>
      </c>
      <c r="F16" s="86" t="s">
        <v>495</v>
      </c>
      <c r="G16" s="86" t="s">
        <v>495</v>
      </c>
      <c r="H16" s="86" t="s">
        <v>578</v>
      </c>
      <c r="I16" s="86" t="s">
        <v>579</v>
      </c>
      <c r="J16" s="86" t="s">
        <v>498</v>
      </c>
      <c r="K16" s="88">
        <v>221014245314</v>
      </c>
      <c r="L16" s="86" t="s">
        <v>320</v>
      </c>
      <c r="M16" s="86" t="s">
        <v>320</v>
      </c>
      <c r="N16" s="86" t="s">
        <v>320</v>
      </c>
      <c r="O16" s="86" t="s">
        <v>482</v>
      </c>
      <c r="P16" s="86" t="s">
        <v>32</v>
      </c>
      <c r="Q16" s="97" t="s">
        <v>580</v>
      </c>
      <c r="R16" s="86" t="s">
        <v>32</v>
      </c>
      <c r="S16" s="86" t="s">
        <v>581</v>
      </c>
      <c r="T16" s="86" t="s">
        <v>485</v>
      </c>
    </row>
    <row r="17" spans="1:20" s="86" customFormat="1" ht="13.8">
      <c r="A17" s="86">
        <v>15</v>
      </c>
      <c r="B17" s="86" t="s">
        <v>511</v>
      </c>
      <c r="C17" s="86" t="s">
        <v>511</v>
      </c>
      <c r="D17" s="86" t="s">
        <v>471</v>
      </c>
      <c r="E17" s="86" t="s">
        <v>494</v>
      </c>
      <c r="F17" s="86" t="s">
        <v>495</v>
      </c>
      <c r="G17" s="86" t="s">
        <v>495</v>
      </c>
      <c r="H17" s="86" t="s">
        <v>582</v>
      </c>
      <c r="I17" s="86" t="s">
        <v>583</v>
      </c>
      <c r="J17" s="86" t="s">
        <v>498</v>
      </c>
      <c r="K17" s="88">
        <v>221015948314</v>
      </c>
      <c r="L17" s="86" t="s">
        <v>320</v>
      </c>
      <c r="M17" s="86" t="s">
        <v>320</v>
      </c>
      <c r="N17" s="86" t="s">
        <v>320</v>
      </c>
      <c r="O17" s="86" t="s">
        <v>482</v>
      </c>
      <c r="P17" s="86" t="s">
        <v>32</v>
      </c>
      <c r="Q17" s="97" t="s">
        <v>584</v>
      </c>
      <c r="R17" s="86" t="s">
        <v>32</v>
      </c>
      <c r="S17" s="86" t="s">
        <v>585</v>
      </c>
      <c r="T17" s="86" t="s">
        <v>485</v>
      </c>
    </row>
    <row r="18" spans="1:20" s="86" customFormat="1" ht="13.8">
      <c r="A18" s="86">
        <v>16</v>
      </c>
      <c r="B18" s="86" t="s">
        <v>512</v>
      </c>
      <c r="C18" s="86" t="s">
        <v>512</v>
      </c>
      <c r="D18" s="86" t="s">
        <v>471</v>
      </c>
      <c r="E18" s="86" t="s">
        <v>494</v>
      </c>
      <c r="F18" s="86" t="s">
        <v>495</v>
      </c>
      <c r="G18" s="86" t="s">
        <v>495</v>
      </c>
      <c r="H18" s="86" t="s">
        <v>586</v>
      </c>
      <c r="I18" s="86" t="s">
        <v>587</v>
      </c>
      <c r="J18" s="86" t="s">
        <v>498</v>
      </c>
      <c r="K18" s="88">
        <v>221012312314</v>
      </c>
      <c r="L18" s="86" t="s">
        <v>320</v>
      </c>
      <c r="M18" s="86" t="s">
        <v>320</v>
      </c>
      <c r="N18" s="86" t="s">
        <v>320</v>
      </c>
      <c r="O18" s="86" t="s">
        <v>482</v>
      </c>
      <c r="P18" s="86" t="s">
        <v>32</v>
      </c>
      <c r="Q18" s="97" t="s">
        <v>588</v>
      </c>
      <c r="R18" s="86" t="s">
        <v>32</v>
      </c>
      <c r="S18" s="86" t="s">
        <v>589</v>
      </c>
      <c r="T18" s="86" t="s">
        <v>485</v>
      </c>
    </row>
    <row r="19" spans="1:20" s="86" customFormat="1" ht="13.8">
      <c r="A19" s="86">
        <v>17</v>
      </c>
      <c r="B19" s="86" t="s">
        <v>513</v>
      </c>
      <c r="C19" s="86" t="s">
        <v>513</v>
      </c>
      <c r="D19" s="86" t="s">
        <v>471</v>
      </c>
      <c r="E19" s="86" t="s">
        <v>494</v>
      </c>
      <c r="F19" s="86" t="s">
        <v>495</v>
      </c>
      <c r="G19" s="86" t="s">
        <v>495</v>
      </c>
      <c r="H19" s="86" t="s">
        <v>590</v>
      </c>
      <c r="I19" s="86" t="s">
        <v>591</v>
      </c>
      <c r="J19" s="86" t="s">
        <v>498</v>
      </c>
      <c r="K19" s="88">
        <v>221014542314</v>
      </c>
      <c r="L19" s="86" t="s">
        <v>320</v>
      </c>
      <c r="M19" s="86" t="s">
        <v>320</v>
      </c>
      <c r="N19" s="86" t="s">
        <v>320</v>
      </c>
      <c r="O19" s="86" t="s">
        <v>482</v>
      </c>
      <c r="P19" s="86" t="s">
        <v>32</v>
      </c>
      <c r="Q19" s="97" t="s">
        <v>592</v>
      </c>
      <c r="R19" s="86" t="s">
        <v>32</v>
      </c>
      <c r="S19" s="86" t="s">
        <v>593</v>
      </c>
      <c r="T19" s="86" t="s">
        <v>485</v>
      </c>
    </row>
    <row r="20" spans="1:20" s="86" customFormat="1" ht="13.8">
      <c r="A20" s="86">
        <v>18</v>
      </c>
      <c r="B20" s="86" t="s">
        <v>514</v>
      </c>
      <c r="C20" s="86" t="s">
        <v>514</v>
      </c>
      <c r="D20" s="86" t="s">
        <v>471</v>
      </c>
      <c r="E20" s="86" t="s">
        <v>494</v>
      </c>
      <c r="F20" s="86" t="s">
        <v>495</v>
      </c>
      <c r="G20" s="86" t="s">
        <v>495</v>
      </c>
      <c r="H20" s="86" t="s">
        <v>594</v>
      </c>
      <c r="I20" s="86" t="s">
        <v>595</v>
      </c>
      <c r="J20" s="86" t="s">
        <v>498</v>
      </c>
      <c r="K20" s="88">
        <v>221012033314</v>
      </c>
      <c r="L20" s="86" t="s">
        <v>320</v>
      </c>
      <c r="M20" s="86" t="s">
        <v>320</v>
      </c>
      <c r="N20" s="86" t="s">
        <v>320</v>
      </c>
      <c r="O20" s="86" t="s">
        <v>482</v>
      </c>
      <c r="P20" s="86" t="s">
        <v>32</v>
      </c>
      <c r="Q20" s="97" t="s">
        <v>596</v>
      </c>
      <c r="R20" s="86" t="s">
        <v>32</v>
      </c>
      <c r="S20" s="86" t="s">
        <v>597</v>
      </c>
      <c r="T20" s="86" t="s">
        <v>485</v>
      </c>
    </row>
    <row r="21" spans="1:20" s="86" customFormat="1" ht="13.8">
      <c r="A21" s="86">
        <v>19</v>
      </c>
      <c r="B21" s="86" t="s">
        <v>515</v>
      </c>
      <c r="C21" s="86" t="s">
        <v>515</v>
      </c>
      <c r="D21" s="86" t="s">
        <v>471</v>
      </c>
      <c r="E21" s="86" t="s">
        <v>494</v>
      </c>
      <c r="F21" s="86" t="s">
        <v>495</v>
      </c>
      <c r="G21" s="86" t="s">
        <v>495</v>
      </c>
      <c r="H21" s="86" t="s">
        <v>598</v>
      </c>
      <c r="I21" s="86" t="s">
        <v>599</v>
      </c>
      <c r="J21" s="86" t="s">
        <v>498</v>
      </c>
      <c r="K21" s="88">
        <v>221015281314</v>
      </c>
      <c r="L21" s="86" t="s">
        <v>320</v>
      </c>
      <c r="M21" s="86" t="s">
        <v>320</v>
      </c>
      <c r="N21" s="86" t="s">
        <v>320</v>
      </c>
      <c r="O21" s="86" t="s">
        <v>482</v>
      </c>
      <c r="P21" s="86" t="s">
        <v>32</v>
      </c>
      <c r="Q21" s="97" t="s">
        <v>600</v>
      </c>
      <c r="R21" s="86" t="s">
        <v>32</v>
      </c>
      <c r="S21" s="86" t="s">
        <v>601</v>
      </c>
      <c r="T21" s="86" t="s">
        <v>485</v>
      </c>
    </row>
    <row r="22" spans="1:20">
      <c r="A22" s="86">
        <v>20</v>
      </c>
      <c r="B22" s="86" t="s">
        <v>516</v>
      </c>
      <c r="C22" s="86" t="s">
        <v>516</v>
      </c>
      <c r="D22" s="86" t="s">
        <v>471</v>
      </c>
      <c r="E22" s="86" t="s">
        <v>494</v>
      </c>
      <c r="F22" s="86" t="s">
        <v>495</v>
      </c>
      <c r="G22" s="86" t="s">
        <v>495</v>
      </c>
      <c r="H22" s="67" t="s">
        <v>602</v>
      </c>
      <c r="I22" s="67" t="s">
        <v>603</v>
      </c>
      <c r="J22" s="86" t="s">
        <v>498</v>
      </c>
      <c r="K22" s="66">
        <v>221011047314</v>
      </c>
      <c r="L22" s="67" t="s">
        <v>320</v>
      </c>
      <c r="M22" s="67" t="s">
        <v>320</v>
      </c>
      <c r="N22" s="67" t="s">
        <v>320</v>
      </c>
      <c r="O22" s="67" t="s">
        <v>482</v>
      </c>
      <c r="P22" s="67" t="s">
        <v>32</v>
      </c>
      <c r="Q22" s="97" t="s">
        <v>604</v>
      </c>
      <c r="R22" s="67" t="s">
        <v>32</v>
      </c>
      <c r="S22" s="86" t="s">
        <v>605</v>
      </c>
      <c r="T22" s="86" t="s">
        <v>485</v>
      </c>
    </row>
    <row r="23" spans="1:20">
      <c r="A23" s="86">
        <v>21</v>
      </c>
      <c r="B23" s="86" t="s">
        <v>517</v>
      </c>
      <c r="C23" s="86" t="s">
        <v>517</v>
      </c>
      <c r="D23" s="86" t="s">
        <v>471</v>
      </c>
      <c r="E23" s="86" t="s">
        <v>494</v>
      </c>
      <c r="F23" s="86" t="s">
        <v>495</v>
      </c>
      <c r="G23" s="86" t="s">
        <v>495</v>
      </c>
      <c r="H23" s="67" t="s">
        <v>606</v>
      </c>
      <c r="I23" s="67" t="s">
        <v>607</v>
      </c>
      <c r="J23" s="86" t="s">
        <v>498</v>
      </c>
      <c r="K23" s="66">
        <v>221012571314</v>
      </c>
      <c r="L23" s="67" t="s">
        <v>320</v>
      </c>
      <c r="M23" s="67" t="s">
        <v>320</v>
      </c>
      <c r="N23" s="67" t="s">
        <v>320</v>
      </c>
      <c r="O23" s="67" t="s">
        <v>482</v>
      </c>
      <c r="P23" s="67" t="s">
        <v>32</v>
      </c>
      <c r="Q23" s="97" t="s">
        <v>608</v>
      </c>
      <c r="R23" s="67" t="s">
        <v>32</v>
      </c>
      <c r="S23" s="86" t="s">
        <v>609</v>
      </c>
      <c r="T23" s="86" t="s">
        <v>485</v>
      </c>
    </row>
    <row r="24" spans="1:20">
      <c r="A24" s="86">
        <v>22</v>
      </c>
      <c r="B24" s="86" t="s">
        <v>518</v>
      </c>
      <c r="C24" s="86" t="s">
        <v>518</v>
      </c>
      <c r="D24" s="86" t="s">
        <v>471</v>
      </c>
      <c r="E24" s="86" t="s">
        <v>494</v>
      </c>
      <c r="F24" s="86" t="s">
        <v>495</v>
      </c>
      <c r="G24" s="86" t="s">
        <v>495</v>
      </c>
      <c r="H24" s="67" t="s">
        <v>610</v>
      </c>
      <c r="I24" s="67" t="s">
        <v>611</v>
      </c>
      <c r="J24" s="86" t="s">
        <v>498</v>
      </c>
      <c r="K24" s="66">
        <v>221012494314</v>
      </c>
      <c r="L24" s="67" t="s">
        <v>320</v>
      </c>
      <c r="M24" s="67" t="s">
        <v>320</v>
      </c>
      <c r="N24" s="67" t="s">
        <v>320</v>
      </c>
      <c r="O24" s="67" t="s">
        <v>482</v>
      </c>
      <c r="P24" s="67" t="s">
        <v>32</v>
      </c>
      <c r="Q24" s="97" t="s">
        <v>612</v>
      </c>
      <c r="R24" s="67" t="s">
        <v>32</v>
      </c>
      <c r="S24" s="86" t="s">
        <v>613</v>
      </c>
      <c r="T24" s="86" t="s">
        <v>485</v>
      </c>
    </row>
    <row r="25" spans="1:20">
      <c r="A25" s="86">
        <v>23</v>
      </c>
      <c r="B25" s="86" t="s">
        <v>519</v>
      </c>
      <c r="C25" s="86" t="s">
        <v>519</v>
      </c>
      <c r="D25" s="86" t="s">
        <v>471</v>
      </c>
      <c r="E25" s="86" t="s">
        <v>494</v>
      </c>
      <c r="F25" s="86" t="s">
        <v>495</v>
      </c>
      <c r="G25" s="86" t="s">
        <v>495</v>
      </c>
      <c r="H25" s="67" t="s">
        <v>614</v>
      </c>
      <c r="I25" s="67" t="s">
        <v>615</v>
      </c>
      <c r="J25" s="86" t="s">
        <v>498</v>
      </c>
      <c r="K25" s="66">
        <v>221013824314</v>
      </c>
      <c r="L25" s="67" t="s">
        <v>320</v>
      </c>
      <c r="M25" s="67" t="s">
        <v>320</v>
      </c>
      <c r="N25" s="67" t="s">
        <v>320</v>
      </c>
      <c r="O25" s="67" t="s">
        <v>482</v>
      </c>
      <c r="P25" s="67" t="s">
        <v>32</v>
      </c>
      <c r="Q25" s="97" t="s">
        <v>616</v>
      </c>
      <c r="R25" s="67" t="s">
        <v>32</v>
      </c>
      <c r="S25" s="86" t="s">
        <v>617</v>
      </c>
      <c r="T25" s="86" t="s">
        <v>485</v>
      </c>
    </row>
    <row r="26" spans="1:20">
      <c r="A26" s="86">
        <v>24</v>
      </c>
      <c r="B26" s="86" t="s">
        <v>520</v>
      </c>
      <c r="C26" s="86" t="s">
        <v>520</v>
      </c>
      <c r="D26" s="86" t="s">
        <v>471</v>
      </c>
      <c r="E26" s="86" t="s">
        <v>494</v>
      </c>
      <c r="F26" s="86" t="s">
        <v>495</v>
      </c>
      <c r="G26" s="86" t="s">
        <v>495</v>
      </c>
      <c r="H26" s="67" t="s">
        <v>618</v>
      </c>
      <c r="I26" s="67" t="s">
        <v>619</v>
      </c>
      <c r="J26" s="86" t="s">
        <v>498</v>
      </c>
      <c r="K26" s="66">
        <v>221014166314</v>
      </c>
      <c r="L26" s="67" t="s">
        <v>320</v>
      </c>
      <c r="M26" s="67" t="s">
        <v>320</v>
      </c>
      <c r="N26" s="67" t="s">
        <v>320</v>
      </c>
      <c r="O26" s="67" t="s">
        <v>482</v>
      </c>
      <c r="P26" s="67" t="s">
        <v>32</v>
      </c>
      <c r="Q26" s="97" t="s">
        <v>620</v>
      </c>
      <c r="R26" s="67" t="s">
        <v>32</v>
      </c>
      <c r="S26" s="86" t="s">
        <v>621</v>
      </c>
      <c r="T26" s="86" t="s">
        <v>485</v>
      </c>
    </row>
    <row r="27" spans="1:20">
      <c r="A27" s="86">
        <v>25</v>
      </c>
      <c r="B27" s="86" t="s">
        <v>521</v>
      </c>
      <c r="C27" s="86" t="s">
        <v>521</v>
      </c>
      <c r="D27" s="86" t="s">
        <v>471</v>
      </c>
      <c r="E27" s="86" t="s">
        <v>494</v>
      </c>
      <c r="F27" s="86" t="s">
        <v>495</v>
      </c>
      <c r="G27" s="86" t="s">
        <v>495</v>
      </c>
      <c r="H27" s="67" t="s">
        <v>622</v>
      </c>
      <c r="I27" s="67" t="s">
        <v>623</v>
      </c>
      <c r="J27" s="86" t="s">
        <v>498</v>
      </c>
      <c r="K27" s="66">
        <v>221013465314</v>
      </c>
      <c r="L27" s="67" t="s">
        <v>320</v>
      </c>
      <c r="M27" s="67" t="s">
        <v>320</v>
      </c>
      <c r="N27" s="67" t="s">
        <v>320</v>
      </c>
      <c r="O27" s="67" t="s">
        <v>482</v>
      </c>
      <c r="P27" s="67" t="s">
        <v>32</v>
      </c>
      <c r="Q27" s="97" t="s">
        <v>624</v>
      </c>
      <c r="R27" s="67" t="s">
        <v>32</v>
      </c>
      <c r="S27" s="86" t="s">
        <v>625</v>
      </c>
      <c r="T27" s="86" t="s">
        <v>485</v>
      </c>
    </row>
    <row r="28" spans="1:20">
      <c r="A28" s="86">
        <v>26</v>
      </c>
      <c r="B28" s="86" t="s">
        <v>522</v>
      </c>
      <c r="C28" s="86" t="s">
        <v>522</v>
      </c>
      <c r="D28" s="86" t="s">
        <v>471</v>
      </c>
      <c r="E28" s="86" t="s">
        <v>494</v>
      </c>
      <c r="F28" s="86" t="s">
        <v>495</v>
      </c>
      <c r="G28" s="86" t="s">
        <v>495</v>
      </c>
      <c r="H28" s="67" t="s">
        <v>626</v>
      </c>
      <c r="I28" s="67" t="s">
        <v>627</v>
      </c>
      <c r="J28" s="86" t="s">
        <v>498</v>
      </c>
      <c r="K28" s="66">
        <v>221013560314</v>
      </c>
      <c r="L28" s="67" t="s">
        <v>320</v>
      </c>
      <c r="M28" s="67" t="s">
        <v>320</v>
      </c>
      <c r="N28" s="67" t="s">
        <v>320</v>
      </c>
      <c r="O28" s="67" t="s">
        <v>482</v>
      </c>
      <c r="P28" s="67" t="s">
        <v>32</v>
      </c>
      <c r="Q28" s="97" t="s">
        <v>628</v>
      </c>
      <c r="R28" s="67" t="s">
        <v>32</v>
      </c>
      <c r="S28" s="86" t="s">
        <v>629</v>
      </c>
      <c r="T28" s="86" t="s">
        <v>485</v>
      </c>
    </row>
    <row r="29" spans="1:20">
      <c r="A29" s="86">
        <v>27</v>
      </c>
      <c r="B29" s="86" t="s">
        <v>523</v>
      </c>
      <c r="C29" s="86" t="s">
        <v>523</v>
      </c>
      <c r="D29" s="86" t="s">
        <v>471</v>
      </c>
      <c r="E29" s="86" t="s">
        <v>494</v>
      </c>
      <c r="F29" s="86" t="s">
        <v>495</v>
      </c>
      <c r="G29" s="86" t="s">
        <v>495</v>
      </c>
      <c r="H29" s="67" t="s">
        <v>630</v>
      </c>
      <c r="I29" s="67" t="s">
        <v>631</v>
      </c>
      <c r="J29" s="86" t="s">
        <v>498</v>
      </c>
      <c r="K29" s="66">
        <v>221014544314</v>
      </c>
      <c r="L29" s="67" t="s">
        <v>320</v>
      </c>
      <c r="M29" s="67" t="s">
        <v>320</v>
      </c>
      <c r="N29" s="67" t="s">
        <v>320</v>
      </c>
      <c r="O29" s="67" t="s">
        <v>482</v>
      </c>
      <c r="P29" s="67" t="s">
        <v>32</v>
      </c>
      <c r="Q29" s="97" t="s">
        <v>632</v>
      </c>
      <c r="R29" s="67" t="s">
        <v>32</v>
      </c>
      <c r="S29" s="86" t="s">
        <v>633</v>
      </c>
      <c r="T29" s="86" t="s">
        <v>485</v>
      </c>
    </row>
    <row r="30" spans="1:20">
      <c r="A30" s="86">
        <v>28</v>
      </c>
      <c r="B30" s="86" t="s">
        <v>524</v>
      </c>
      <c r="C30" s="86" t="s">
        <v>524</v>
      </c>
      <c r="D30" s="86" t="s">
        <v>471</v>
      </c>
      <c r="E30" s="86" t="s">
        <v>494</v>
      </c>
      <c r="F30" s="86" t="s">
        <v>495</v>
      </c>
      <c r="G30" s="86" t="s">
        <v>495</v>
      </c>
      <c r="H30" s="67" t="s">
        <v>634</v>
      </c>
      <c r="I30" s="67" t="s">
        <v>635</v>
      </c>
      <c r="J30" s="86" t="s">
        <v>498</v>
      </c>
      <c r="K30" s="66">
        <v>221012557314</v>
      </c>
      <c r="L30" s="67" t="s">
        <v>320</v>
      </c>
      <c r="M30" s="67" t="s">
        <v>320</v>
      </c>
      <c r="N30" s="67" t="s">
        <v>320</v>
      </c>
      <c r="O30" s="67" t="s">
        <v>482</v>
      </c>
      <c r="P30" s="67" t="s">
        <v>32</v>
      </c>
      <c r="Q30" s="97" t="s">
        <v>636</v>
      </c>
      <c r="R30" s="67" t="s">
        <v>32</v>
      </c>
      <c r="S30" s="86" t="s">
        <v>637</v>
      </c>
      <c r="T30" s="86" t="s">
        <v>485</v>
      </c>
    </row>
    <row r="31" spans="1:20">
      <c r="A31" s="86">
        <v>29</v>
      </c>
      <c r="B31" s="86" t="s">
        <v>525</v>
      </c>
      <c r="C31" s="86" t="s">
        <v>525</v>
      </c>
      <c r="D31" s="86" t="s">
        <v>471</v>
      </c>
      <c r="E31" s="86" t="s">
        <v>494</v>
      </c>
      <c r="F31" s="86" t="s">
        <v>495</v>
      </c>
      <c r="G31" s="86" t="s">
        <v>495</v>
      </c>
      <c r="H31" s="67" t="s">
        <v>638</v>
      </c>
      <c r="I31" s="67" t="s">
        <v>639</v>
      </c>
      <c r="J31" s="86" t="s">
        <v>498</v>
      </c>
      <c r="K31" s="66">
        <v>221010585314</v>
      </c>
      <c r="L31" s="67" t="s">
        <v>320</v>
      </c>
      <c r="M31" s="67" t="s">
        <v>320</v>
      </c>
      <c r="N31" s="67" t="s">
        <v>320</v>
      </c>
      <c r="O31" s="67" t="s">
        <v>482</v>
      </c>
      <c r="P31" s="67" t="s">
        <v>32</v>
      </c>
      <c r="Q31" s="97" t="s">
        <v>640</v>
      </c>
      <c r="R31" s="67" t="s">
        <v>32</v>
      </c>
      <c r="S31" s="86" t="s">
        <v>641</v>
      </c>
      <c r="T31" s="86" t="s">
        <v>485</v>
      </c>
    </row>
    <row r="32" spans="1:20">
      <c r="A32" s="86">
        <v>30</v>
      </c>
      <c r="B32" s="86" t="s">
        <v>526</v>
      </c>
      <c r="C32" s="86" t="s">
        <v>526</v>
      </c>
      <c r="D32" s="86" t="s">
        <v>471</v>
      </c>
      <c r="E32" s="86" t="s">
        <v>494</v>
      </c>
      <c r="F32" s="86" t="s">
        <v>495</v>
      </c>
      <c r="G32" s="86" t="s">
        <v>495</v>
      </c>
      <c r="H32" s="67" t="s">
        <v>642</v>
      </c>
      <c r="I32" s="67" t="s">
        <v>643</v>
      </c>
      <c r="J32" s="86" t="s">
        <v>498</v>
      </c>
      <c r="K32" s="66">
        <v>221013076314</v>
      </c>
      <c r="L32" s="67" t="s">
        <v>320</v>
      </c>
      <c r="M32" s="67" t="s">
        <v>320</v>
      </c>
      <c r="N32" s="67" t="s">
        <v>320</v>
      </c>
      <c r="O32" s="67" t="s">
        <v>482</v>
      </c>
      <c r="P32" s="67" t="s">
        <v>32</v>
      </c>
      <c r="Q32" s="97" t="s">
        <v>644</v>
      </c>
      <c r="R32" s="67" t="s">
        <v>32</v>
      </c>
      <c r="S32" s="86" t="s">
        <v>645</v>
      </c>
      <c r="T32" s="86" t="s">
        <v>485</v>
      </c>
    </row>
    <row r="33" spans="1:20">
      <c r="A33" s="86">
        <v>31</v>
      </c>
      <c r="B33" s="86" t="s">
        <v>527</v>
      </c>
      <c r="C33" s="86" t="s">
        <v>527</v>
      </c>
      <c r="D33" s="86" t="s">
        <v>471</v>
      </c>
      <c r="E33" s="86" t="s">
        <v>494</v>
      </c>
      <c r="F33" s="86" t="s">
        <v>495</v>
      </c>
      <c r="G33" s="86" t="s">
        <v>495</v>
      </c>
      <c r="H33" s="67" t="s">
        <v>646</v>
      </c>
      <c r="I33" s="67" t="s">
        <v>647</v>
      </c>
      <c r="J33" s="86" t="s">
        <v>498</v>
      </c>
      <c r="K33" s="66">
        <v>221012465314</v>
      </c>
      <c r="L33" s="67" t="s">
        <v>320</v>
      </c>
      <c r="M33" s="67" t="s">
        <v>320</v>
      </c>
      <c r="N33" s="67" t="s">
        <v>320</v>
      </c>
      <c r="O33" s="67" t="s">
        <v>482</v>
      </c>
      <c r="P33" s="67" t="s">
        <v>32</v>
      </c>
      <c r="Q33" s="97" t="s">
        <v>648</v>
      </c>
      <c r="R33" s="67" t="s">
        <v>32</v>
      </c>
      <c r="S33" s="86" t="s">
        <v>649</v>
      </c>
      <c r="T33" s="86" t="s">
        <v>485</v>
      </c>
    </row>
    <row r="34" spans="1:20">
      <c r="A34" s="86">
        <v>32</v>
      </c>
      <c r="B34" s="86" t="s">
        <v>528</v>
      </c>
      <c r="C34" s="86" t="s">
        <v>528</v>
      </c>
      <c r="D34" s="86" t="s">
        <v>471</v>
      </c>
      <c r="E34" s="86" t="s">
        <v>494</v>
      </c>
      <c r="F34" s="86" t="s">
        <v>495</v>
      </c>
      <c r="G34" s="86" t="s">
        <v>495</v>
      </c>
      <c r="H34" s="67" t="s">
        <v>650</v>
      </c>
      <c r="I34" s="67" t="s">
        <v>651</v>
      </c>
      <c r="J34" s="86" t="s">
        <v>498</v>
      </c>
      <c r="K34" s="66">
        <v>221015233314</v>
      </c>
      <c r="L34" s="67" t="s">
        <v>320</v>
      </c>
      <c r="M34" s="67" t="s">
        <v>320</v>
      </c>
      <c r="N34" s="67" t="s">
        <v>320</v>
      </c>
      <c r="O34" s="67" t="s">
        <v>482</v>
      </c>
      <c r="P34" s="67" t="s">
        <v>32</v>
      </c>
      <c r="Q34" s="97" t="s">
        <v>652</v>
      </c>
      <c r="R34" s="67" t="s">
        <v>32</v>
      </c>
      <c r="S34" s="86" t="s">
        <v>653</v>
      </c>
      <c r="T34" s="86" t="s">
        <v>485</v>
      </c>
    </row>
    <row r="35" spans="1:20">
      <c r="A35" s="86">
        <v>33</v>
      </c>
      <c r="B35" s="86" t="s">
        <v>529</v>
      </c>
      <c r="C35" s="86" t="s">
        <v>529</v>
      </c>
      <c r="D35" s="86" t="s">
        <v>471</v>
      </c>
      <c r="E35" s="86" t="s">
        <v>494</v>
      </c>
      <c r="F35" s="86" t="s">
        <v>495</v>
      </c>
      <c r="G35" s="86" t="s">
        <v>495</v>
      </c>
      <c r="H35" s="67" t="s">
        <v>654</v>
      </c>
      <c r="I35" s="67" t="s">
        <v>655</v>
      </c>
      <c r="J35" s="86" t="s">
        <v>498</v>
      </c>
      <c r="K35" s="66">
        <v>221014555314</v>
      </c>
      <c r="L35" s="67" t="s">
        <v>320</v>
      </c>
      <c r="M35" s="67" t="s">
        <v>320</v>
      </c>
      <c r="N35" s="67" t="s">
        <v>320</v>
      </c>
      <c r="O35" s="67" t="s">
        <v>482</v>
      </c>
      <c r="P35" s="67" t="s">
        <v>32</v>
      </c>
      <c r="Q35" s="97" t="s">
        <v>656</v>
      </c>
      <c r="R35" s="67" t="s">
        <v>32</v>
      </c>
      <c r="S35" s="86" t="s">
        <v>657</v>
      </c>
      <c r="T35" s="86" t="s">
        <v>485</v>
      </c>
    </row>
    <row r="36" spans="1:20">
      <c r="A36" s="86">
        <v>34</v>
      </c>
      <c r="B36" s="86" t="s">
        <v>530</v>
      </c>
      <c r="C36" s="86" t="s">
        <v>530</v>
      </c>
      <c r="D36" s="86" t="s">
        <v>471</v>
      </c>
      <c r="E36" s="86" t="s">
        <v>494</v>
      </c>
      <c r="F36" s="86" t="s">
        <v>495</v>
      </c>
      <c r="G36" s="86" t="s">
        <v>495</v>
      </c>
      <c r="H36" s="67" t="s">
        <v>658</v>
      </c>
      <c r="I36" s="67" t="s">
        <v>659</v>
      </c>
      <c r="J36" s="86" t="s">
        <v>498</v>
      </c>
      <c r="K36" s="66">
        <v>221012340314</v>
      </c>
      <c r="L36" s="67" t="s">
        <v>320</v>
      </c>
      <c r="M36" s="67" t="s">
        <v>320</v>
      </c>
      <c r="N36" s="67" t="s">
        <v>320</v>
      </c>
      <c r="O36" s="67" t="s">
        <v>482</v>
      </c>
      <c r="P36" s="67" t="s">
        <v>32</v>
      </c>
      <c r="Q36" s="97" t="s">
        <v>660</v>
      </c>
      <c r="R36" s="67" t="s">
        <v>32</v>
      </c>
      <c r="S36" s="86" t="s">
        <v>661</v>
      </c>
      <c r="T36" s="86" t="s">
        <v>485</v>
      </c>
    </row>
    <row r="37" spans="1:20">
      <c r="A37" s="86">
        <v>35</v>
      </c>
      <c r="B37" s="86" t="s">
        <v>531</v>
      </c>
      <c r="C37" s="86" t="s">
        <v>531</v>
      </c>
      <c r="D37" s="86" t="s">
        <v>471</v>
      </c>
      <c r="E37" s="86" t="s">
        <v>494</v>
      </c>
      <c r="F37" s="86" t="s">
        <v>495</v>
      </c>
      <c r="G37" s="86" t="s">
        <v>495</v>
      </c>
      <c r="H37" s="67" t="s">
        <v>662</v>
      </c>
      <c r="I37" s="67" t="s">
        <v>663</v>
      </c>
      <c r="J37" s="86" t="s">
        <v>498</v>
      </c>
      <c r="K37" s="66">
        <v>221012556314</v>
      </c>
      <c r="L37" s="67" t="s">
        <v>320</v>
      </c>
      <c r="M37" s="67" t="s">
        <v>320</v>
      </c>
      <c r="N37" s="67" t="s">
        <v>320</v>
      </c>
      <c r="O37" s="67" t="s">
        <v>482</v>
      </c>
      <c r="P37" s="67" t="s">
        <v>32</v>
      </c>
      <c r="Q37" s="97" t="s">
        <v>664</v>
      </c>
      <c r="R37" s="67" t="s">
        <v>32</v>
      </c>
      <c r="S37" s="86" t="s">
        <v>665</v>
      </c>
      <c r="T37" s="86" t="s">
        <v>485</v>
      </c>
    </row>
    <row r="38" spans="1:20">
      <c r="A38" s="86">
        <v>36</v>
      </c>
      <c r="B38" s="86" t="s">
        <v>532</v>
      </c>
      <c r="C38" s="86" t="s">
        <v>532</v>
      </c>
      <c r="D38" s="86" t="s">
        <v>471</v>
      </c>
      <c r="E38" s="86" t="s">
        <v>494</v>
      </c>
      <c r="F38" s="86" t="s">
        <v>495</v>
      </c>
      <c r="G38" s="86" t="s">
        <v>495</v>
      </c>
      <c r="H38" s="67" t="s">
        <v>666</v>
      </c>
      <c r="I38" s="67" t="s">
        <v>667</v>
      </c>
      <c r="J38" s="86" t="s">
        <v>498</v>
      </c>
      <c r="K38" s="66">
        <v>221014844314</v>
      </c>
      <c r="L38" s="67" t="s">
        <v>320</v>
      </c>
      <c r="M38" s="67" t="s">
        <v>320</v>
      </c>
      <c r="N38" s="67" t="s">
        <v>320</v>
      </c>
      <c r="O38" s="67" t="s">
        <v>482</v>
      </c>
      <c r="P38" s="67" t="s">
        <v>32</v>
      </c>
      <c r="Q38" s="97" t="s">
        <v>668</v>
      </c>
      <c r="R38" s="67" t="s">
        <v>32</v>
      </c>
      <c r="S38" s="86" t="s">
        <v>669</v>
      </c>
      <c r="T38" s="86" t="s">
        <v>485</v>
      </c>
    </row>
    <row r="39" spans="1:20">
      <c r="A39" s="86">
        <v>37</v>
      </c>
      <c r="B39" s="86" t="s">
        <v>533</v>
      </c>
      <c r="C39" s="86" t="s">
        <v>533</v>
      </c>
      <c r="D39" s="86" t="s">
        <v>471</v>
      </c>
      <c r="E39" s="86" t="s">
        <v>494</v>
      </c>
      <c r="F39" s="86" t="s">
        <v>495</v>
      </c>
      <c r="G39" s="86" t="s">
        <v>495</v>
      </c>
      <c r="H39" s="67" t="s">
        <v>670</v>
      </c>
      <c r="I39" s="67" t="s">
        <v>671</v>
      </c>
      <c r="J39" s="86" t="s">
        <v>498</v>
      </c>
      <c r="K39" s="66">
        <v>221011578314</v>
      </c>
      <c r="L39" s="67" t="s">
        <v>320</v>
      </c>
      <c r="M39" s="67" t="s">
        <v>320</v>
      </c>
      <c r="N39" s="67" t="s">
        <v>320</v>
      </c>
      <c r="O39" s="67" t="s">
        <v>482</v>
      </c>
      <c r="P39" s="67" t="s">
        <v>32</v>
      </c>
      <c r="Q39" s="97" t="s">
        <v>668</v>
      </c>
      <c r="R39" s="67" t="s">
        <v>32</v>
      </c>
      <c r="S39" s="86" t="s">
        <v>672</v>
      </c>
      <c r="T39" s="86" t="s">
        <v>485</v>
      </c>
    </row>
    <row r="40" spans="1:20">
      <c r="A40" s="86">
        <v>38</v>
      </c>
      <c r="B40" s="86" t="s">
        <v>534</v>
      </c>
      <c r="C40" s="86" t="s">
        <v>534</v>
      </c>
      <c r="D40" s="86" t="s">
        <v>471</v>
      </c>
      <c r="E40" s="86" t="s">
        <v>494</v>
      </c>
      <c r="F40" s="86" t="s">
        <v>495</v>
      </c>
      <c r="G40" s="86" t="s">
        <v>495</v>
      </c>
      <c r="H40" s="67" t="s">
        <v>673</v>
      </c>
      <c r="I40" s="67" t="s">
        <v>674</v>
      </c>
      <c r="J40" s="86" t="s">
        <v>498</v>
      </c>
      <c r="K40" s="66">
        <v>221012549314</v>
      </c>
      <c r="L40" s="67" t="s">
        <v>320</v>
      </c>
      <c r="M40" s="67" t="s">
        <v>320</v>
      </c>
      <c r="N40" s="67" t="s">
        <v>320</v>
      </c>
      <c r="O40" s="67" t="s">
        <v>482</v>
      </c>
      <c r="P40" s="67" t="s">
        <v>32</v>
      </c>
      <c r="Q40" s="97" t="s">
        <v>675</v>
      </c>
      <c r="R40" s="67" t="s">
        <v>32</v>
      </c>
      <c r="S40" s="86" t="s">
        <v>676</v>
      </c>
      <c r="T40" s="86" t="s">
        <v>485</v>
      </c>
    </row>
    <row r="41" spans="1:20">
      <c r="A41" s="86">
        <v>39</v>
      </c>
      <c r="B41" s="86" t="s">
        <v>535</v>
      </c>
      <c r="C41" s="86" t="s">
        <v>535</v>
      </c>
      <c r="D41" s="86" t="s">
        <v>471</v>
      </c>
      <c r="E41" s="86" t="s">
        <v>494</v>
      </c>
      <c r="F41" s="86" t="s">
        <v>495</v>
      </c>
      <c r="G41" s="86" t="s">
        <v>495</v>
      </c>
      <c r="H41" s="67" t="s">
        <v>677</v>
      </c>
      <c r="I41" s="67" t="s">
        <v>678</v>
      </c>
      <c r="J41" s="86" t="s">
        <v>498</v>
      </c>
      <c r="K41" s="66">
        <v>221014409314</v>
      </c>
      <c r="L41" s="67" t="s">
        <v>320</v>
      </c>
      <c r="M41" s="67" t="s">
        <v>320</v>
      </c>
      <c r="N41" s="67" t="s">
        <v>320</v>
      </c>
      <c r="O41" s="67" t="s">
        <v>482</v>
      </c>
      <c r="P41" s="67" t="s">
        <v>32</v>
      </c>
      <c r="Q41" s="97" t="s">
        <v>679</v>
      </c>
      <c r="R41" s="67" t="s">
        <v>32</v>
      </c>
      <c r="S41" s="86" t="s">
        <v>680</v>
      </c>
      <c r="T41" s="86" t="s">
        <v>485</v>
      </c>
    </row>
    <row r="42" spans="1:20">
      <c r="A42" s="86">
        <v>40</v>
      </c>
      <c r="B42" s="86" t="s">
        <v>536</v>
      </c>
      <c r="C42" s="86" t="s">
        <v>536</v>
      </c>
      <c r="D42" s="86" t="s">
        <v>471</v>
      </c>
      <c r="E42" s="86" t="s">
        <v>494</v>
      </c>
      <c r="F42" s="86" t="s">
        <v>495</v>
      </c>
      <c r="G42" s="86" t="s">
        <v>495</v>
      </c>
      <c r="H42" s="67" t="s">
        <v>681</v>
      </c>
      <c r="I42" s="67" t="s">
        <v>682</v>
      </c>
      <c r="J42" s="86" t="s">
        <v>498</v>
      </c>
      <c r="K42" s="66">
        <v>221012539314</v>
      </c>
      <c r="L42" s="67" t="s">
        <v>320</v>
      </c>
      <c r="M42" s="67" t="s">
        <v>320</v>
      </c>
      <c r="N42" s="67" t="s">
        <v>320</v>
      </c>
      <c r="O42" s="67" t="s">
        <v>482</v>
      </c>
      <c r="P42" s="67" t="s">
        <v>32</v>
      </c>
      <c r="Q42" s="97" t="s">
        <v>683</v>
      </c>
      <c r="R42" s="67" t="s">
        <v>32</v>
      </c>
      <c r="S42" s="86" t="s">
        <v>684</v>
      </c>
      <c r="T42" s="86" t="s">
        <v>485</v>
      </c>
    </row>
    <row r="43" spans="1:20">
      <c r="A43" s="86">
        <v>41</v>
      </c>
      <c r="B43" s="86" t="s">
        <v>537</v>
      </c>
      <c r="C43" s="86" t="s">
        <v>537</v>
      </c>
      <c r="D43" s="86" t="s">
        <v>471</v>
      </c>
      <c r="E43" s="86" t="s">
        <v>494</v>
      </c>
      <c r="F43" s="86" t="s">
        <v>495</v>
      </c>
      <c r="G43" s="86" t="s">
        <v>495</v>
      </c>
      <c r="H43" s="67" t="s">
        <v>685</v>
      </c>
      <c r="I43" s="67" t="s">
        <v>686</v>
      </c>
      <c r="J43" s="86" t="s">
        <v>498</v>
      </c>
      <c r="K43" s="66">
        <v>221012559314</v>
      </c>
      <c r="L43" s="67" t="s">
        <v>320</v>
      </c>
      <c r="M43" s="67" t="s">
        <v>320</v>
      </c>
      <c r="N43" s="67" t="s">
        <v>320</v>
      </c>
      <c r="O43" s="67" t="s">
        <v>482</v>
      </c>
      <c r="P43" s="67" t="s">
        <v>32</v>
      </c>
      <c r="Q43" s="97" t="s">
        <v>687</v>
      </c>
      <c r="R43" s="67" t="s">
        <v>32</v>
      </c>
      <c r="S43" s="86" t="s">
        <v>688</v>
      </c>
      <c r="T43" s="86" t="s">
        <v>485</v>
      </c>
    </row>
    <row r="44" spans="1:20">
      <c r="A44" s="86">
        <v>42</v>
      </c>
      <c r="B44" s="86" t="s">
        <v>538</v>
      </c>
      <c r="C44" s="86" t="s">
        <v>538</v>
      </c>
      <c r="D44" s="86" t="s">
        <v>471</v>
      </c>
      <c r="E44" s="86" t="s">
        <v>494</v>
      </c>
      <c r="F44" s="86" t="s">
        <v>495</v>
      </c>
      <c r="G44" s="86" t="s">
        <v>495</v>
      </c>
      <c r="H44" s="67" t="s">
        <v>689</v>
      </c>
      <c r="I44" s="67" t="s">
        <v>690</v>
      </c>
      <c r="J44" s="67" t="s">
        <v>498</v>
      </c>
      <c r="K44" s="66">
        <v>221011610314</v>
      </c>
      <c r="L44" s="67" t="s">
        <v>320</v>
      </c>
      <c r="M44" s="67" t="s">
        <v>320</v>
      </c>
      <c r="N44" s="67" t="s">
        <v>320</v>
      </c>
      <c r="O44" s="67" t="s">
        <v>482</v>
      </c>
      <c r="P44" s="67" t="s">
        <v>32</v>
      </c>
      <c r="Q44" s="97" t="s">
        <v>691</v>
      </c>
      <c r="R44" s="67" t="s">
        <v>32</v>
      </c>
      <c r="S44" s="86" t="s">
        <v>692</v>
      </c>
      <c r="T44" s="86" t="s">
        <v>485</v>
      </c>
    </row>
    <row r="45" spans="1:20">
      <c r="A45" s="86">
        <v>43</v>
      </c>
      <c r="B45" s="86" t="s">
        <v>871</v>
      </c>
      <c r="C45" s="86" t="s">
        <v>871</v>
      </c>
      <c r="D45" s="86" t="s">
        <v>471</v>
      </c>
      <c r="E45" s="86" t="s">
        <v>20</v>
      </c>
      <c r="F45" s="86" t="s">
        <v>25</v>
      </c>
      <c r="G45" s="86" t="s">
        <v>313</v>
      </c>
      <c r="H45" s="67" t="s">
        <v>872</v>
      </c>
      <c r="I45" s="67" t="s">
        <v>873</v>
      </c>
      <c r="J45" s="67" t="s">
        <v>25</v>
      </c>
      <c r="K45" s="66" t="s">
        <v>874</v>
      </c>
      <c r="L45" s="67" t="s">
        <v>875</v>
      </c>
      <c r="M45" s="67" t="s">
        <v>429</v>
      </c>
      <c r="N45" s="67" t="s">
        <v>137</v>
      </c>
      <c r="O45" s="67" t="s">
        <v>26</v>
      </c>
      <c r="P45" s="67" t="s">
        <v>25</v>
      </c>
      <c r="Q45" s="97" t="s">
        <v>876</v>
      </c>
      <c r="R45" s="67" t="s">
        <v>25</v>
      </c>
      <c r="S45" s="86" t="s">
        <v>877</v>
      </c>
      <c r="T45" s="86" t="s">
        <v>485</v>
      </c>
    </row>
    <row r="46" spans="1:20">
      <c r="A46" s="86">
        <v>44</v>
      </c>
      <c r="B46" s="86" t="s">
        <v>878</v>
      </c>
      <c r="C46" s="86" t="s">
        <v>538</v>
      </c>
      <c r="D46" s="86" t="s">
        <v>471</v>
      </c>
      <c r="E46" s="86" t="s">
        <v>20</v>
      </c>
      <c r="F46" s="86" t="s">
        <v>25</v>
      </c>
      <c r="G46" s="86" t="s">
        <v>313</v>
      </c>
      <c r="H46" s="67" t="s">
        <v>872</v>
      </c>
      <c r="I46" s="67" t="s">
        <v>879</v>
      </c>
      <c r="J46" s="67" t="s">
        <v>25</v>
      </c>
      <c r="K46" s="66" t="s">
        <v>880</v>
      </c>
      <c r="L46" s="67" t="s">
        <v>875</v>
      </c>
      <c r="M46" s="67" t="s">
        <v>429</v>
      </c>
      <c r="N46" s="67" t="s">
        <v>137</v>
      </c>
      <c r="O46" s="67" t="s">
        <v>26</v>
      </c>
      <c r="P46" s="67" t="s">
        <v>32</v>
      </c>
      <c r="Q46" s="97" t="s">
        <v>881</v>
      </c>
      <c r="R46" s="67" t="s">
        <v>25</v>
      </c>
      <c r="S46" s="86" t="s">
        <v>882</v>
      </c>
      <c r="T46" s="86" t="s">
        <v>485</v>
      </c>
    </row>
    <row r="47" spans="1:20">
      <c r="A47" s="86">
        <v>45</v>
      </c>
      <c r="B47" s="86" t="s">
        <v>883</v>
      </c>
      <c r="C47" s="86" t="s">
        <v>538</v>
      </c>
      <c r="D47" s="86" t="s">
        <v>471</v>
      </c>
      <c r="E47" s="86" t="s">
        <v>20</v>
      </c>
      <c r="F47" s="86" t="s">
        <v>25</v>
      </c>
      <c r="G47" s="86" t="s">
        <v>313</v>
      </c>
      <c r="H47" s="67" t="s">
        <v>872</v>
      </c>
      <c r="I47" s="67" t="s">
        <v>884</v>
      </c>
      <c r="J47" s="67" t="s">
        <v>25</v>
      </c>
      <c r="K47" s="66" t="s">
        <v>885</v>
      </c>
      <c r="L47" s="67" t="s">
        <v>875</v>
      </c>
      <c r="M47" s="67" t="s">
        <v>429</v>
      </c>
      <c r="N47" s="67" t="s">
        <v>137</v>
      </c>
      <c r="O47" s="67" t="s">
        <v>26</v>
      </c>
      <c r="P47" s="67" t="s">
        <v>25</v>
      </c>
      <c r="Q47" s="97" t="s">
        <v>886</v>
      </c>
      <c r="R47" s="67" t="s">
        <v>32</v>
      </c>
      <c r="S47" s="86" t="s">
        <v>887</v>
      </c>
      <c r="T47" s="86" t="s">
        <v>485</v>
      </c>
    </row>
    <row r="48" spans="1:20">
      <c r="A48" s="86">
        <v>46</v>
      </c>
      <c r="B48" s="86" t="s">
        <v>888</v>
      </c>
      <c r="C48" s="86" t="s">
        <v>538</v>
      </c>
      <c r="D48" s="86" t="s">
        <v>471</v>
      </c>
      <c r="E48" s="86" t="s">
        <v>20</v>
      </c>
      <c r="F48" s="86" t="s">
        <v>25</v>
      </c>
      <c r="G48" s="86" t="s">
        <v>313</v>
      </c>
      <c r="H48" s="67" t="s">
        <v>872</v>
      </c>
      <c r="I48" s="67" t="s">
        <v>890</v>
      </c>
      <c r="J48" s="67" t="s">
        <v>25</v>
      </c>
      <c r="K48" s="66" t="s">
        <v>891</v>
      </c>
      <c r="L48" s="67" t="s">
        <v>875</v>
      </c>
      <c r="M48" s="67" t="s">
        <v>429</v>
      </c>
      <c r="N48" s="67" t="s">
        <v>137</v>
      </c>
      <c r="O48" s="67" t="s">
        <v>26</v>
      </c>
      <c r="P48" s="67" t="s">
        <v>25</v>
      </c>
      <c r="Q48" s="97" t="s">
        <v>892</v>
      </c>
      <c r="R48" s="67" t="s">
        <v>25</v>
      </c>
      <c r="S48" s="86" t="s">
        <v>893</v>
      </c>
      <c r="T48" s="86" t="s">
        <v>485</v>
      </c>
    </row>
    <row r="49" spans="1:20">
      <c r="A49" s="86">
        <v>47</v>
      </c>
      <c r="B49" s="86" t="s">
        <v>889</v>
      </c>
      <c r="C49" s="86" t="s">
        <v>538</v>
      </c>
      <c r="D49" s="86" t="s">
        <v>471</v>
      </c>
      <c r="E49" s="86" t="s">
        <v>20</v>
      </c>
      <c r="F49" s="86" t="s">
        <v>25</v>
      </c>
      <c r="G49" s="86" t="s">
        <v>313</v>
      </c>
      <c r="H49" s="67" t="s">
        <v>872</v>
      </c>
      <c r="I49" s="67" t="s">
        <v>894</v>
      </c>
      <c r="J49" s="67" t="s">
        <v>25</v>
      </c>
      <c r="K49" s="66" t="s">
        <v>895</v>
      </c>
      <c r="L49" s="67" t="s">
        <v>875</v>
      </c>
      <c r="M49" s="67" t="s">
        <v>290</v>
      </c>
      <c r="N49" s="67" t="s">
        <v>137</v>
      </c>
      <c r="O49" s="67" t="s">
        <v>26</v>
      </c>
      <c r="P49" s="67" t="s">
        <v>25</v>
      </c>
      <c r="Q49" s="97" t="s">
        <v>896</v>
      </c>
      <c r="R49" s="67" t="s">
        <v>25</v>
      </c>
      <c r="S49" s="86" t="s">
        <v>897</v>
      </c>
      <c r="T49" s="86" t="s">
        <v>485</v>
      </c>
    </row>
    <row r="50" spans="1:20">
      <c r="A50" s="67">
        <v>43</v>
      </c>
      <c r="B50" s="67" t="s">
        <v>693</v>
      </c>
      <c r="C50" s="67" t="s">
        <v>735</v>
      </c>
      <c r="D50" s="67" t="s">
        <v>698</v>
      </c>
      <c r="E50" s="67" t="s">
        <v>494</v>
      </c>
      <c r="F50" s="67" t="s">
        <v>495</v>
      </c>
      <c r="G50" s="67" t="s">
        <v>495</v>
      </c>
      <c r="H50" s="67" t="s">
        <v>694</v>
      </c>
      <c r="I50" s="67" t="s">
        <v>695</v>
      </c>
      <c r="J50" s="67" t="s">
        <v>498</v>
      </c>
      <c r="K50" s="66">
        <v>221014738314</v>
      </c>
      <c r="L50" s="67" t="s">
        <v>320</v>
      </c>
      <c r="M50" s="67" t="s">
        <v>320</v>
      </c>
      <c r="N50" s="67" t="s">
        <v>320</v>
      </c>
      <c r="O50" s="67" t="s">
        <v>482</v>
      </c>
      <c r="P50" s="67" t="s">
        <v>32</v>
      </c>
      <c r="Q50" s="97" t="s">
        <v>696</v>
      </c>
      <c r="R50" s="67" t="s">
        <v>32</v>
      </c>
      <c r="S50" s="86" t="s">
        <v>697</v>
      </c>
      <c r="T50" s="86" t="s">
        <v>698</v>
      </c>
    </row>
    <row r="51" spans="1:20">
      <c r="A51" s="67">
        <v>44</v>
      </c>
      <c r="B51" s="67" t="s">
        <v>699</v>
      </c>
      <c r="C51" s="67" t="s">
        <v>736</v>
      </c>
      <c r="D51" s="67" t="s">
        <v>698</v>
      </c>
      <c r="E51" s="67" t="s">
        <v>494</v>
      </c>
      <c r="F51" s="67" t="s">
        <v>495</v>
      </c>
      <c r="G51" s="67" t="s">
        <v>495</v>
      </c>
      <c r="H51" s="67" t="s">
        <v>700</v>
      </c>
      <c r="I51" s="67" t="s">
        <v>701</v>
      </c>
      <c r="J51" s="67" t="s">
        <v>498</v>
      </c>
      <c r="K51" s="66">
        <v>221010987314</v>
      </c>
      <c r="L51" s="67" t="s">
        <v>320</v>
      </c>
      <c r="M51" s="67" t="s">
        <v>320</v>
      </c>
      <c r="N51" s="67" t="s">
        <v>320</v>
      </c>
      <c r="O51" s="67" t="s">
        <v>482</v>
      </c>
      <c r="P51" s="67" t="s">
        <v>32</v>
      </c>
      <c r="Q51" s="97" t="s">
        <v>702</v>
      </c>
      <c r="R51" s="67" t="s">
        <v>32</v>
      </c>
      <c r="S51" s="86" t="s">
        <v>703</v>
      </c>
      <c r="T51" s="67" t="s">
        <v>698</v>
      </c>
    </row>
    <row r="52" spans="1:20">
      <c r="A52" s="67">
        <v>45</v>
      </c>
      <c r="B52" s="67" t="s">
        <v>704</v>
      </c>
      <c r="C52" s="67" t="s">
        <v>737</v>
      </c>
      <c r="D52" s="67" t="s">
        <v>698</v>
      </c>
      <c r="E52" s="67" t="s">
        <v>494</v>
      </c>
      <c r="F52" s="67" t="s">
        <v>495</v>
      </c>
      <c r="G52" s="67" t="s">
        <v>495</v>
      </c>
      <c r="H52" s="67" t="s">
        <v>705</v>
      </c>
      <c r="I52" s="67" t="s">
        <v>706</v>
      </c>
      <c r="J52" s="67" t="s">
        <v>498</v>
      </c>
      <c r="K52" s="66">
        <v>221013938314</v>
      </c>
      <c r="L52" s="67" t="s">
        <v>320</v>
      </c>
      <c r="M52" s="67" t="s">
        <v>320</v>
      </c>
      <c r="N52" s="67" t="s">
        <v>320</v>
      </c>
      <c r="O52" s="67" t="s">
        <v>482</v>
      </c>
      <c r="P52" s="67" t="s">
        <v>32</v>
      </c>
      <c r="Q52" s="97" t="s">
        <v>707</v>
      </c>
      <c r="R52" s="67" t="s">
        <v>32</v>
      </c>
      <c r="S52" s="86" t="s">
        <v>708</v>
      </c>
      <c r="T52" s="67" t="s">
        <v>698</v>
      </c>
    </row>
    <row r="53" spans="1:20">
      <c r="A53" s="67">
        <v>46</v>
      </c>
      <c r="B53" s="67" t="s">
        <v>709</v>
      </c>
      <c r="C53" s="67" t="s">
        <v>738</v>
      </c>
      <c r="D53" s="67" t="s">
        <v>698</v>
      </c>
      <c r="E53" s="67" t="s">
        <v>494</v>
      </c>
      <c r="F53" s="67" t="s">
        <v>495</v>
      </c>
      <c r="G53" s="67" t="s">
        <v>495</v>
      </c>
      <c r="H53" s="67" t="s">
        <v>710</v>
      </c>
      <c r="I53" s="67" t="s">
        <v>711</v>
      </c>
      <c r="J53" s="67" t="s">
        <v>498</v>
      </c>
      <c r="K53" s="66">
        <v>221012362314</v>
      </c>
      <c r="L53" s="67" t="s">
        <v>320</v>
      </c>
      <c r="M53" s="67" t="s">
        <v>320</v>
      </c>
      <c r="N53" s="67" t="s">
        <v>320</v>
      </c>
      <c r="O53" s="67" t="s">
        <v>482</v>
      </c>
      <c r="P53" s="67" t="s">
        <v>32</v>
      </c>
      <c r="Q53" s="97" t="s">
        <v>712</v>
      </c>
      <c r="R53" s="67" t="s">
        <v>32</v>
      </c>
      <c r="S53" s="86" t="s">
        <v>713</v>
      </c>
      <c r="T53" s="67" t="s">
        <v>698</v>
      </c>
    </row>
    <row r="54" spans="1:20">
      <c r="A54" s="67">
        <v>47</v>
      </c>
      <c r="B54" s="67" t="s">
        <v>714</v>
      </c>
      <c r="C54" s="67" t="s">
        <v>739</v>
      </c>
      <c r="D54" s="67" t="s">
        <v>698</v>
      </c>
      <c r="E54" s="67" t="s">
        <v>494</v>
      </c>
      <c r="F54" s="67" t="s">
        <v>495</v>
      </c>
      <c r="G54" s="67" t="s">
        <v>495</v>
      </c>
      <c r="H54" s="67" t="s">
        <v>715</v>
      </c>
      <c r="I54" s="67" t="s">
        <v>716</v>
      </c>
      <c r="J54" s="67" t="s">
        <v>498</v>
      </c>
      <c r="K54" s="66">
        <v>221014531314</v>
      </c>
      <c r="L54" s="67" t="s">
        <v>320</v>
      </c>
      <c r="M54" s="67" t="s">
        <v>320</v>
      </c>
      <c r="N54" s="67" t="s">
        <v>320</v>
      </c>
      <c r="O54" s="67" t="s">
        <v>482</v>
      </c>
      <c r="P54" s="67" t="s">
        <v>32</v>
      </c>
      <c r="Q54" s="97" t="s">
        <v>717</v>
      </c>
      <c r="R54" s="67" t="s">
        <v>32</v>
      </c>
      <c r="S54" s="86" t="s">
        <v>718</v>
      </c>
      <c r="T54" s="67" t="s">
        <v>698</v>
      </c>
    </row>
    <row r="55" spans="1:20">
      <c r="A55" s="67">
        <v>48</v>
      </c>
      <c r="B55" s="67" t="s">
        <v>719</v>
      </c>
      <c r="C55" s="67" t="s">
        <v>740</v>
      </c>
      <c r="D55" s="67" t="s">
        <v>698</v>
      </c>
      <c r="E55" s="67" t="s">
        <v>494</v>
      </c>
      <c r="F55" s="67" t="s">
        <v>495</v>
      </c>
      <c r="G55" s="67" t="s">
        <v>495</v>
      </c>
      <c r="H55" s="67" t="s">
        <v>720</v>
      </c>
      <c r="I55" s="67" t="s">
        <v>721</v>
      </c>
      <c r="J55" s="67" t="s">
        <v>498</v>
      </c>
      <c r="K55" s="66">
        <v>221012785314</v>
      </c>
      <c r="L55" s="67" t="s">
        <v>320</v>
      </c>
      <c r="M55" s="67" t="s">
        <v>320</v>
      </c>
      <c r="N55" s="67" t="s">
        <v>320</v>
      </c>
      <c r="O55" s="67" t="s">
        <v>482</v>
      </c>
      <c r="P55" s="67" t="s">
        <v>32</v>
      </c>
      <c r="Q55" s="97" t="s">
        <v>722</v>
      </c>
      <c r="R55" s="67" t="s">
        <v>32</v>
      </c>
      <c r="S55" s="86" t="s">
        <v>723</v>
      </c>
      <c r="T55" s="67" t="s">
        <v>698</v>
      </c>
    </row>
    <row r="56" spans="1:20">
      <c r="A56" s="67">
        <v>49</v>
      </c>
      <c r="B56" s="67" t="s">
        <v>724</v>
      </c>
      <c r="C56" s="67" t="s">
        <v>741</v>
      </c>
      <c r="D56" s="67" t="s">
        <v>698</v>
      </c>
      <c r="E56" s="67" t="s">
        <v>494</v>
      </c>
      <c r="F56" s="67" t="s">
        <v>495</v>
      </c>
      <c r="G56" s="67" t="s">
        <v>495</v>
      </c>
      <c r="H56" s="67" t="s">
        <v>725</v>
      </c>
      <c r="I56" s="67" t="s">
        <v>726</v>
      </c>
      <c r="J56" s="67" t="s">
        <v>498</v>
      </c>
      <c r="K56" s="66">
        <v>221012349314</v>
      </c>
      <c r="L56" s="67" t="s">
        <v>320</v>
      </c>
      <c r="M56" s="67" t="s">
        <v>320</v>
      </c>
      <c r="N56" s="67" t="s">
        <v>320</v>
      </c>
      <c r="O56" s="67" t="s">
        <v>482</v>
      </c>
      <c r="P56" s="67" t="s">
        <v>32</v>
      </c>
      <c r="Q56" s="97" t="s">
        <v>727</v>
      </c>
      <c r="R56" s="67" t="s">
        <v>32</v>
      </c>
      <c r="S56" s="86" t="s">
        <v>728</v>
      </c>
      <c r="T56" s="67" t="s">
        <v>698</v>
      </c>
    </row>
    <row r="57" spans="1:20">
      <c r="A57" s="67">
        <v>50</v>
      </c>
      <c r="B57" s="67" t="s">
        <v>729</v>
      </c>
      <c r="C57" s="67" t="s">
        <v>742</v>
      </c>
      <c r="D57" s="67" t="s">
        <v>698</v>
      </c>
      <c r="E57" s="67" t="s">
        <v>494</v>
      </c>
      <c r="F57" s="67" t="s">
        <v>495</v>
      </c>
      <c r="G57" s="67" t="s">
        <v>495</v>
      </c>
      <c r="H57" s="67" t="s">
        <v>732</v>
      </c>
      <c r="I57" s="67" t="s">
        <v>733</v>
      </c>
      <c r="J57" s="67" t="s">
        <v>498</v>
      </c>
      <c r="K57" s="66">
        <v>221013468314</v>
      </c>
      <c r="L57" s="67" t="s">
        <v>320</v>
      </c>
      <c r="M57" s="67" t="s">
        <v>320</v>
      </c>
      <c r="N57" s="67" t="s">
        <v>320</v>
      </c>
      <c r="O57" s="67" t="s">
        <v>482</v>
      </c>
      <c r="P57" s="67" t="s">
        <v>32</v>
      </c>
      <c r="Q57" s="97" t="s">
        <v>731</v>
      </c>
      <c r="R57" s="67" t="s">
        <v>32</v>
      </c>
      <c r="S57" s="86" t="s">
        <v>730</v>
      </c>
      <c r="T57" s="67" t="s">
        <v>698</v>
      </c>
    </row>
    <row r="58" spans="1:20">
      <c r="B58" s="67" t="s">
        <v>734</v>
      </c>
      <c r="C58" s="67" t="s">
        <v>743</v>
      </c>
      <c r="D58" s="67" t="s">
        <v>698</v>
      </c>
      <c r="E58" s="67" t="s">
        <v>494</v>
      </c>
      <c r="F58" s="67" t="s">
        <v>495</v>
      </c>
      <c r="G58" s="67" t="s">
        <v>495</v>
      </c>
      <c r="H58" s="67" t="s">
        <v>744</v>
      </c>
      <c r="I58" s="67" t="s">
        <v>745</v>
      </c>
      <c r="J58" s="67" t="s">
        <v>498</v>
      </c>
      <c r="K58" s="66">
        <v>221014527314</v>
      </c>
      <c r="L58" s="67" t="s">
        <v>320</v>
      </c>
      <c r="M58" s="67" t="s">
        <v>320</v>
      </c>
      <c r="N58" s="67" t="s">
        <v>320</v>
      </c>
      <c r="O58" s="67" t="s">
        <v>482</v>
      </c>
      <c r="P58" s="67" t="s">
        <v>32</v>
      </c>
      <c r="Q58" s="97" t="s">
        <v>746</v>
      </c>
      <c r="R58" s="67" t="s">
        <v>32</v>
      </c>
      <c r="S58" s="86" t="s">
        <v>657</v>
      </c>
      <c r="T58" s="67" t="s">
        <v>698</v>
      </c>
    </row>
    <row r="59" spans="1:20">
      <c r="B59" s="67" t="s">
        <v>747</v>
      </c>
      <c r="C59" s="67" t="s">
        <v>758</v>
      </c>
      <c r="D59" s="67" t="s">
        <v>698</v>
      </c>
      <c r="E59" s="67" t="s">
        <v>494</v>
      </c>
      <c r="F59" s="67" t="s">
        <v>495</v>
      </c>
      <c r="G59" s="67" t="s">
        <v>495</v>
      </c>
      <c r="H59" s="67" t="s">
        <v>748</v>
      </c>
      <c r="I59" s="67" t="s">
        <v>749</v>
      </c>
      <c r="J59" s="67" t="s">
        <v>498</v>
      </c>
      <c r="K59" s="66">
        <v>221015303314</v>
      </c>
      <c r="L59" s="67" t="s">
        <v>320</v>
      </c>
      <c r="M59" s="67" t="s">
        <v>320</v>
      </c>
      <c r="N59" s="67" t="s">
        <v>320</v>
      </c>
      <c r="O59" s="67" t="s">
        <v>482</v>
      </c>
      <c r="P59" s="67" t="s">
        <v>32</v>
      </c>
      <c r="Q59" s="97" t="s">
        <v>750</v>
      </c>
      <c r="R59" s="67" t="s">
        <v>32</v>
      </c>
      <c r="S59" s="86" t="s">
        <v>751</v>
      </c>
      <c r="T59" s="67" t="s">
        <v>698</v>
      </c>
    </row>
    <row r="60" spans="1:20">
      <c r="B60" s="67" t="s">
        <v>752</v>
      </c>
      <c r="C60" s="67" t="s">
        <v>759</v>
      </c>
      <c r="D60" s="67" t="s">
        <v>698</v>
      </c>
      <c r="E60" s="67" t="s">
        <v>494</v>
      </c>
      <c r="F60" s="67" t="s">
        <v>495</v>
      </c>
      <c r="G60" s="67" t="s">
        <v>495</v>
      </c>
      <c r="H60" s="67" t="s">
        <v>753</v>
      </c>
      <c r="I60" s="67" t="s">
        <v>754</v>
      </c>
      <c r="J60" s="67" t="s">
        <v>498</v>
      </c>
      <c r="K60" s="66">
        <v>221014545314</v>
      </c>
      <c r="L60" s="67" t="s">
        <v>320</v>
      </c>
      <c r="M60" s="67" t="s">
        <v>320</v>
      </c>
      <c r="N60" s="67" t="s">
        <v>320</v>
      </c>
      <c r="O60" s="67" t="s">
        <v>482</v>
      </c>
      <c r="P60" s="67" t="s">
        <v>32</v>
      </c>
      <c r="Q60" s="97" t="s">
        <v>755</v>
      </c>
      <c r="R60" s="67" t="s">
        <v>32</v>
      </c>
      <c r="S60" s="86" t="s">
        <v>756</v>
      </c>
      <c r="T60" s="67" t="s">
        <v>698</v>
      </c>
    </row>
    <row r="61" spans="1:20">
      <c r="B61" s="67" t="s">
        <v>757</v>
      </c>
      <c r="C61" s="67" t="s">
        <v>760</v>
      </c>
      <c r="D61" s="67" t="s">
        <v>698</v>
      </c>
      <c r="E61" s="67" t="s">
        <v>494</v>
      </c>
      <c r="F61" s="67" t="s">
        <v>495</v>
      </c>
      <c r="G61" s="67" t="s">
        <v>495</v>
      </c>
      <c r="H61" s="67" t="s">
        <v>761</v>
      </c>
      <c r="I61" s="67" t="s">
        <v>762</v>
      </c>
      <c r="J61" s="67" t="s">
        <v>498</v>
      </c>
      <c r="K61" s="66">
        <v>221011887314</v>
      </c>
      <c r="L61" s="67" t="s">
        <v>320</v>
      </c>
      <c r="M61" s="67" t="s">
        <v>320</v>
      </c>
      <c r="N61" s="67" t="s">
        <v>320</v>
      </c>
      <c r="O61" s="67" t="s">
        <v>482</v>
      </c>
      <c r="P61" s="67" t="s">
        <v>32</v>
      </c>
      <c r="Q61" s="97" t="s">
        <v>763</v>
      </c>
      <c r="R61" s="67" t="s">
        <v>32</v>
      </c>
      <c r="S61" s="86" t="s">
        <v>764</v>
      </c>
      <c r="T61" s="67" t="s">
        <v>698</v>
      </c>
    </row>
    <row r="62" spans="1:20">
      <c r="B62" s="67" t="s">
        <v>765</v>
      </c>
      <c r="C62" s="67" t="s">
        <v>766</v>
      </c>
      <c r="D62" s="67" t="s">
        <v>698</v>
      </c>
      <c r="E62" s="67" t="s">
        <v>494</v>
      </c>
      <c r="F62" s="67" t="s">
        <v>495</v>
      </c>
      <c r="G62" s="67" t="s">
        <v>495</v>
      </c>
      <c r="H62" s="67" t="s">
        <v>767</v>
      </c>
      <c r="I62" s="67" t="s">
        <v>768</v>
      </c>
      <c r="J62" s="67" t="s">
        <v>498</v>
      </c>
      <c r="K62" s="66">
        <v>221012879314</v>
      </c>
      <c r="L62" s="67" t="s">
        <v>320</v>
      </c>
      <c r="M62" s="67" t="s">
        <v>320</v>
      </c>
      <c r="N62" s="67" t="s">
        <v>320</v>
      </c>
      <c r="O62" s="67" t="s">
        <v>482</v>
      </c>
      <c r="P62" s="67" t="s">
        <v>32</v>
      </c>
      <c r="Q62" s="97" t="s">
        <v>769</v>
      </c>
      <c r="R62" s="67" t="s">
        <v>32</v>
      </c>
      <c r="S62" s="86" t="s">
        <v>770</v>
      </c>
      <c r="T62" s="67" t="s">
        <v>698</v>
      </c>
    </row>
    <row r="63" spans="1:20">
      <c r="B63" s="67" t="s">
        <v>771</v>
      </c>
      <c r="C63" s="67" t="s">
        <v>772</v>
      </c>
      <c r="D63" s="67" t="s">
        <v>698</v>
      </c>
      <c r="E63" s="67" t="s">
        <v>494</v>
      </c>
      <c r="F63" s="67" t="s">
        <v>495</v>
      </c>
      <c r="G63" s="67" t="s">
        <v>495</v>
      </c>
      <c r="H63" s="67" t="s">
        <v>773</v>
      </c>
      <c r="I63" s="67" t="s">
        <v>774</v>
      </c>
      <c r="J63" s="67" t="s">
        <v>498</v>
      </c>
      <c r="K63" s="66">
        <v>221012564314</v>
      </c>
      <c r="L63" s="67" t="s">
        <v>320</v>
      </c>
      <c r="M63" s="67" t="s">
        <v>320</v>
      </c>
      <c r="N63" s="67" t="s">
        <v>320</v>
      </c>
      <c r="O63" s="67" t="s">
        <v>482</v>
      </c>
      <c r="P63" s="67" t="s">
        <v>32</v>
      </c>
      <c r="Q63" s="97" t="s">
        <v>775</v>
      </c>
      <c r="R63" s="67" t="s">
        <v>32</v>
      </c>
      <c r="S63" s="86" t="s">
        <v>776</v>
      </c>
      <c r="T63" s="67" t="s">
        <v>698</v>
      </c>
    </row>
    <row r="64" spans="1:20">
      <c r="B64" s="67" t="s">
        <v>777</v>
      </c>
      <c r="C64" s="67" t="s">
        <v>778</v>
      </c>
      <c r="D64" s="67" t="s">
        <v>698</v>
      </c>
      <c r="E64" s="67" t="s">
        <v>494</v>
      </c>
      <c r="F64" s="67" t="s">
        <v>495</v>
      </c>
      <c r="G64" s="67" t="s">
        <v>495</v>
      </c>
      <c r="H64" s="67" t="s">
        <v>779</v>
      </c>
      <c r="I64" s="67" t="s">
        <v>780</v>
      </c>
      <c r="J64" s="67" t="s">
        <v>498</v>
      </c>
      <c r="K64" s="66">
        <v>221014168314</v>
      </c>
      <c r="L64" s="67" t="s">
        <v>320</v>
      </c>
      <c r="M64" s="67" t="s">
        <v>320</v>
      </c>
      <c r="N64" s="67" t="s">
        <v>320</v>
      </c>
      <c r="O64" s="67" t="s">
        <v>482</v>
      </c>
      <c r="P64" s="67" t="s">
        <v>32</v>
      </c>
      <c r="Q64" s="97" t="s">
        <v>781</v>
      </c>
      <c r="R64" s="67" t="s">
        <v>32</v>
      </c>
      <c r="S64" s="86" t="s">
        <v>782</v>
      </c>
      <c r="T64" s="67" t="s">
        <v>698</v>
      </c>
    </row>
    <row r="65" spans="2:20">
      <c r="B65" s="67" t="s">
        <v>783</v>
      </c>
      <c r="C65" s="67" t="s">
        <v>784</v>
      </c>
      <c r="D65" s="67" t="s">
        <v>698</v>
      </c>
      <c r="E65" s="67" t="s">
        <v>494</v>
      </c>
      <c r="F65" s="67" t="s">
        <v>495</v>
      </c>
      <c r="G65" s="67" t="s">
        <v>495</v>
      </c>
      <c r="H65" s="67" t="s">
        <v>785</v>
      </c>
      <c r="I65" s="67" t="s">
        <v>786</v>
      </c>
      <c r="J65" s="67" t="s">
        <v>498</v>
      </c>
      <c r="K65" s="66">
        <v>221011774314</v>
      </c>
      <c r="L65" s="67" t="s">
        <v>320</v>
      </c>
      <c r="M65" s="67" t="s">
        <v>320</v>
      </c>
      <c r="N65" s="67" t="s">
        <v>320</v>
      </c>
      <c r="O65" s="67" t="s">
        <v>482</v>
      </c>
      <c r="P65" s="67" t="s">
        <v>32</v>
      </c>
      <c r="Q65" s="97" t="s">
        <v>787</v>
      </c>
      <c r="R65" s="67" t="s">
        <v>32</v>
      </c>
      <c r="S65" s="86" t="s">
        <v>788</v>
      </c>
      <c r="T65" s="67" t="s">
        <v>698</v>
      </c>
    </row>
    <row r="66" spans="2:20">
      <c r="B66" s="67" t="s">
        <v>789</v>
      </c>
      <c r="C66" s="67" t="s">
        <v>790</v>
      </c>
      <c r="D66" s="67" t="s">
        <v>698</v>
      </c>
      <c r="E66" s="67" t="s">
        <v>494</v>
      </c>
      <c r="F66" s="67" t="s">
        <v>495</v>
      </c>
      <c r="G66" s="67" t="s">
        <v>495</v>
      </c>
      <c r="H66" s="67" t="s">
        <v>792</v>
      </c>
      <c r="I66" s="67" t="s">
        <v>791</v>
      </c>
      <c r="J66" s="67" t="s">
        <v>498</v>
      </c>
      <c r="K66" s="66">
        <v>221014523314</v>
      </c>
      <c r="L66" s="67" t="s">
        <v>320</v>
      </c>
      <c r="M66" s="67" t="s">
        <v>320</v>
      </c>
      <c r="N66" s="67" t="s">
        <v>320</v>
      </c>
      <c r="O66" s="67" t="s">
        <v>482</v>
      </c>
      <c r="P66" s="67" t="s">
        <v>32</v>
      </c>
      <c r="Q66" s="97" t="s">
        <v>793</v>
      </c>
      <c r="R66" s="67" t="s">
        <v>32</v>
      </c>
      <c r="S66" s="86" t="s">
        <v>794</v>
      </c>
      <c r="T66" s="67" t="s">
        <v>698</v>
      </c>
    </row>
    <row r="67" spans="2:20">
      <c r="B67" s="67" t="s">
        <v>795</v>
      </c>
      <c r="C67" s="67" t="s">
        <v>796</v>
      </c>
      <c r="D67" s="67" t="s">
        <v>698</v>
      </c>
      <c r="E67" s="67" t="s">
        <v>494</v>
      </c>
      <c r="F67" s="67" t="s">
        <v>495</v>
      </c>
      <c r="G67" s="67" t="s">
        <v>495</v>
      </c>
      <c r="H67" s="67" t="s">
        <v>797</v>
      </c>
      <c r="I67" s="67" t="s">
        <v>798</v>
      </c>
      <c r="J67" s="67" t="s">
        <v>498</v>
      </c>
      <c r="K67" s="66">
        <v>221014308314</v>
      </c>
      <c r="L67" s="67" t="s">
        <v>320</v>
      </c>
      <c r="M67" s="67" t="s">
        <v>320</v>
      </c>
      <c r="N67" s="67" t="s">
        <v>320</v>
      </c>
      <c r="O67" s="67" t="s">
        <v>482</v>
      </c>
      <c r="P67" s="67" t="s">
        <v>32</v>
      </c>
      <c r="Q67" s="97" t="s">
        <v>799</v>
      </c>
      <c r="R67" s="67" t="s">
        <v>32</v>
      </c>
      <c r="S67" s="86" t="s">
        <v>800</v>
      </c>
      <c r="T67" s="67" t="s">
        <v>698</v>
      </c>
    </row>
    <row r="68" spans="2:20">
      <c r="B68" s="67" t="s">
        <v>801</v>
      </c>
      <c r="C68" s="67" t="s">
        <v>802</v>
      </c>
      <c r="D68" s="67" t="s">
        <v>698</v>
      </c>
      <c r="E68" s="67" t="s">
        <v>494</v>
      </c>
      <c r="F68" s="67" t="s">
        <v>495</v>
      </c>
      <c r="G68" s="67" t="s">
        <v>495</v>
      </c>
      <c r="H68" s="67" t="s">
        <v>803</v>
      </c>
      <c r="I68" s="67" t="s">
        <v>804</v>
      </c>
      <c r="J68" s="67" t="s">
        <v>498</v>
      </c>
      <c r="K68" s="66">
        <v>221015236314</v>
      </c>
      <c r="L68" s="67" t="s">
        <v>320</v>
      </c>
      <c r="M68" s="67" t="s">
        <v>320</v>
      </c>
      <c r="N68" s="67" t="s">
        <v>320</v>
      </c>
      <c r="O68" s="67" t="s">
        <v>482</v>
      </c>
      <c r="P68" s="67" t="s">
        <v>32</v>
      </c>
      <c r="Q68" s="97" t="s">
        <v>805</v>
      </c>
      <c r="R68" s="67" t="s">
        <v>32</v>
      </c>
      <c r="S68" s="86" t="s">
        <v>806</v>
      </c>
      <c r="T68" s="67" t="s">
        <v>698</v>
      </c>
    </row>
    <row r="69" spans="2:20">
      <c r="B69" s="67" t="s">
        <v>807</v>
      </c>
      <c r="C69" s="67" t="s">
        <v>808</v>
      </c>
      <c r="D69" s="67" t="s">
        <v>698</v>
      </c>
      <c r="E69" s="67" t="s">
        <v>494</v>
      </c>
      <c r="F69" s="67" t="s">
        <v>495</v>
      </c>
      <c r="G69" s="67" t="s">
        <v>495</v>
      </c>
      <c r="H69" s="67" t="s">
        <v>809</v>
      </c>
      <c r="I69" s="67" t="s">
        <v>810</v>
      </c>
      <c r="J69" s="67" t="s">
        <v>498</v>
      </c>
      <c r="K69" s="66">
        <v>221012262314</v>
      </c>
      <c r="L69" s="67" t="s">
        <v>320</v>
      </c>
      <c r="M69" s="67" t="s">
        <v>320</v>
      </c>
      <c r="N69" s="67" t="s">
        <v>320</v>
      </c>
      <c r="O69" s="67" t="s">
        <v>482</v>
      </c>
      <c r="P69" s="67" t="s">
        <v>32</v>
      </c>
      <c r="Q69" s="97" t="s">
        <v>812</v>
      </c>
      <c r="R69" s="67" t="s">
        <v>32</v>
      </c>
      <c r="S69" s="86" t="s">
        <v>811</v>
      </c>
      <c r="T69" s="67" t="s">
        <v>698</v>
      </c>
    </row>
    <row r="70" spans="2:20">
      <c r="B70" s="67" t="s">
        <v>813</v>
      </c>
      <c r="C70" s="67" t="s">
        <v>814</v>
      </c>
      <c r="D70" s="67" t="s">
        <v>698</v>
      </c>
      <c r="E70" s="67" t="s">
        <v>494</v>
      </c>
      <c r="F70" s="67" t="s">
        <v>495</v>
      </c>
      <c r="G70" s="67" t="s">
        <v>495</v>
      </c>
      <c r="H70" s="67" t="s">
        <v>815</v>
      </c>
      <c r="I70" s="67" t="s">
        <v>816</v>
      </c>
      <c r="J70" s="67" t="s">
        <v>498</v>
      </c>
      <c r="K70" s="66">
        <v>221012562314</v>
      </c>
      <c r="L70" s="67" t="s">
        <v>320</v>
      </c>
      <c r="M70" s="67" t="s">
        <v>320</v>
      </c>
      <c r="N70" s="67" t="s">
        <v>320</v>
      </c>
      <c r="O70" s="67" t="s">
        <v>482</v>
      </c>
      <c r="P70" s="67" t="s">
        <v>32</v>
      </c>
      <c r="Q70" s="97" t="s">
        <v>817</v>
      </c>
      <c r="R70" s="67" t="s">
        <v>32</v>
      </c>
      <c r="S70" s="86" t="s">
        <v>818</v>
      </c>
      <c r="T70" s="67" t="s">
        <v>698</v>
      </c>
    </row>
    <row r="71" spans="2:20">
      <c r="B71" s="67" t="s">
        <v>819</v>
      </c>
      <c r="C71" s="67" t="s">
        <v>820</v>
      </c>
      <c r="D71" s="67" t="s">
        <v>698</v>
      </c>
      <c r="E71" s="67" t="s">
        <v>494</v>
      </c>
      <c r="F71" s="67" t="s">
        <v>495</v>
      </c>
      <c r="G71" s="67" t="s">
        <v>495</v>
      </c>
      <c r="H71" s="67" t="s">
        <v>821</v>
      </c>
      <c r="I71" s="67" t="s">
        <v>822</v>
      </c>
      <c r="J71" s="67" t="s">
        <v>498</v>
      </c>
      <c r="K71" s="66">
        <v>221010294314</v>
      </c>
      <c r="L71" s="67" t="s">
        <v>320</v>
      </c>
      <c r="M71" s="67" t="s">
        <v>320</v>
      </c>
      <c r="N71" s="67" t="s">
        <v>320</v>
      </c>
      <c r="O71" s="67" t="s">
        <v>482</v>
      </c>
      <c r="P71" s="67" t="s">
        <v>32</v>
      </c>
      <c r="Q71" s="97" t="s">
        <v>823</v>
      </c>
      <c r="R71" s="67" t="s">
        <v>32</v>
      </c>
      <c r="S71" s="86" t="s">
        <v>824</v>
      </c>
      <c r="T71" s="67" t="s">
        <v>698</v>
      </c>
    </row>
    <row r="72" spans="2:20">
      <c r="B72" s="67" t="s">
        <v>825</v>
      </c>
      <c r="C72" s="67" t="s">
        <v>826</v>
      </c>
      <c r="D72" s="67" t="s">
        <v>698</v>
      </c>
      <c r="E72" s="67" t="s">
        <v>494</v>
      </c>
      <c r="F72" s="67" t="s">
        <v>495</v>
      </c>
      <c r="G72" s="67" t="s">
        <v>495</v>
      </c>
      <c r="H72" s="67" t="s">
        <v>827</v>
      </c>
      <c r="I72" s="67" t="s">
        <v>828</v>
      </c>
      <c r="J72" s="67" t="s">
        <v>498</v>
      </c>
      <c r="K72" s="66">
        <v>221015270314</v>
      </c>
      <c r="L72" s="67" t="s">
        <v>320</v>
      </c>
      <c r="M72" s="67" t="s">
        <v>320</v>
      </c>
      <c r="N72" s="67" t="s">
        <v>320</v>
      </c>
      <c r="O72" s="67" t="s">
        <v>482</v>
      </c>
      <c r="P72" s="67" t="s">
        <v>32</v>
      </c>
      <c r="Q72" s="97" t="s">
        <v>829</v>
      </c>
      <c r="R72" s="67" t="s">
        <v>32</v>
      </c>
      <c r="S72" s="86" t="s">
        <v>830</v>
      </c>
      <c r="T72" s="67" t="s">
        <v>698</v>
      </c>
    </row>
    <row r="73" spans="2:20">
      <c r="B73" s="67" t="s">
        <v>831</v>
      </c>
      <c r="C73" s="67" t="s">
        <v>832</v>
      </c>
      <c r="D73" s="67" t="s">
        <v>698</v>
      </c>
      <c r="E73" s="67" t="s">
        <v>494</v>
      </c>
      <c r="F73" s="67" t="s">
        <v>495</v>
      </c>
      <c r="G73" s="67" t="s">
        <v>495</v>
      </c>
      <c r="H73" s="67" t="s">
        <v>646</v>
      </c>
      <c r="I73" s="67" t="s">
        <v>647</v>
      </c>
      <c r="J73" s="67" t="s">
        <v>498</v>
      </c>
      <c r="K73" s="66">
        <v>221012318314</v>
      </c>
      <c r="L73" s="67" t="s">
        <v>320</v>
      </c>
      <c r="M73" s="67" t="s">
        <v>320</v>
      </c>
      <c r="N73" s="67" t="s">
        <v>320</v>
      </c>
      <c r="O73" s="67" t="s">
        <v>482</v>
      </c>
      <c r="P73" s="67" t="s">
        <v>32</v>
      </c>
      <c r="Q73" s="97" t="s">
        <v>833</v>
      </c>
      <c r="R73" s="67" t="s">
        <v>32</v>
      </c>
      <c r="S73" s="86" t="s">
        <v>834</v>
      </c>
      <c r="T73" s="67" t="s">
        <v>698</v>
      </c>
    </row>
    <row r="74" spans="2:20">
      <c r="B74" s="67" t="s">
        <v>835</v>
      </c>
      <c r="C74" s="67" t="s">
        <v>836</v>
      </c>
      <c r="D74" s="67" t="s">
        <v>698</v>
      </c>
      <c r="E74" s="67" t="s">
        <v>494</v>
      </c>
      <c r="F74" s="67" t="s">
        <v>495</v>
      </c>
      <c r="G74" s="67" t="s">
        <v>495</v>
      </c>
      <c r="H74" s="67" t="s">
        <v>837</v>
      </c>
      <c r="I74" s="67" t="s">
        <v>838</v>
      </c>
      <c r="J74" s="67" t="s">
        <v>498</v>
      </c>
      <c r="K74" s="66">
        <v>221015326314</v>
      </c>
      <c r="L74" s="67" t="s">
        <v>320</v>
      </c>
      <c r="M74" s="67" t="s">
        <v>320</v>
      </c>
      <c r="N74" s="67" t="s">
        <v>320</v>
      </c>
      <c r="O74" s="67" t="s">
        <v>482</v>
      </c>
      <c r="P74" s="67" t="s">
        <v>32</v>
      </c>
      <c r="Q74" s="97" t="s">
        <v>839</v>
      </c>
      <c r="R74" s="67" t="s">
        <v>32</v>
      </c>
      <c r="S74" s="86" t="s">
        <v>840</v>
      </c>
      <c r="T74" s="67" t="s">
        <v>698</v>
      </c>
    </row>
    <row r="75" spans="2:20">
      <c r="B75" s="67" t="s">
        <v>841</v>
      </c>
      <c r="C75" s="67" t="s">
        <v>842</v>
      </c>
      <c r="D75" s="67" t="s">
        <v>698</v>
      </c>
      <c r="E75" s="67" t="s">
        <v>494</v>
      </c>
      <c r="F75" s="67" t="s">
        <v>495</v>
      </c>
      <c r="G75" s="67" t="s">
        <v>495</v>
      </c>
      <c r="H75" s="67" t="s">
        <v>843</v>
      </c>
      <c r="I75" s="67" t="s">
        <v>844</v>
      </c>
      <c r="J75" s="67" t="s">
        <v>498</v>
      </c>
      <c r="K75" s="66">
        <v>221014547314</v>
      </c>
      <c r="L75" s="67" t="s">
        <v>320</v>
      </c>
      <c r="M75" s="67" t="s">
        <v>320</v>
      </c>
      <c r="N75" s="67" t="s">
        <v>320</v>
      </c>
      <c r="O75" s="67" t="s">
        <v>482</v>
      </c>
      <c r="P75" s="67" t="s">
        <v>32</v>
      </c>
      <c r="Q75" s="97" t="s">
        <v>845</v>
      </c>
      <c r="R75" s="67" t="s">
        <v>32</v>
      </c>
      <c r="S75" s="86" t="s">
        <v>846</v>
      </c>
      <c r="T75" s="67" t="s">
        <v>698</v>
      </c>
    </row>
    <row r="76" spans="2:20">
      <c r="B76" s="67" t="s">
        <v>847</v>
      </c>
      <c r="C76" s="67" t="s">
        <v>848</v>
      </c>
      <c r="D76" s="67" t="s">
        <v>698</v>
      </c>
      <c r="E76" s="67" t="s">
        <v>494</v>
      </c>
      <c r="F76" s="67" t="s">
        <v>495</v>
      </c>
      <c r="G76" s="67" t="s">
        <v>495</v>
      </c>
      <c r="H76" s="67" t="s">
        <v>849</v>
      </c>
      <c r="I76" s="67" t="s">
        <v>850</v>
      </c>
      <c r="J76" s="67" t="s">
        <v>498</v>
      </c>
      <c r="K76" s="66">
        <v>221014539314</v>
      </c>
      <c r="L76" s="67" t="s">
        <v>320</v>
      </c>
      <c r="M76" s="67" t="s">
        <v>320</v>
      </c>
      <c r="N76" s="67" t="s">
        <v>320</v>
      </c>
      <c r="O76" s="67" t="s">
        <v>482</v>
      </c>
      <c r="P76" s="67" t="s">
        <v>32</v>
      </c>
      <c r="Q76" s="97" t="s">
        <v>851</v>
      </c>
      <c r="R76" s="67" t="s">
        <v>32</v>
      </c>
      <c r="S76" s="86" t="s">
        <v>852</v>
      </c>
      <c r="T76" s="67" t="s">
        <v>698</v>
      </c>
    </row>
    <row r="77" spans="2:20">
      <c r="B77" s="67" t="s">
        <v>853</v>
      </c>
      <c r="C77" s="67" t="s">
        <v>854</v>
      </c>
      <c r="D77" s="67" t="s">
        <v>698</v>
      </c>
      <c r="E77" s="67" t="s">
        <v>494</v>
      </c>
      <c r="F77" s="67" t="s">
        <v>495</v>
      </c>
      <c r="G77" s="67" t="s">
        <v>495</v>
      </c>
      <c r="H77" s="67" t="s">
        <v>855</v>
      </c>
      <c r="I77" s="67" t="s">
        <v>856</v>
      </c>
      <c r="J77" s="67" t="s">
        <v>498</v>
      </c>
      <c r="K77" s="66">
        <v>221012383314</v>
      </c>
      <c r="L77" s="67" t="s">
        <v>320</v>
      </c>
      <c r="M77" s="67" t="s">
        <v>320</v>
      </c>
      <c r="N77" s="67" t="s">
        <v>320</v>
      </c>
      <c r="O77" s="67" t="s">
        <v>482</v>
      </c>
      <c r="P77" s="67" t="s">
        <v>32</v>
      </c>
      <c r="Q77" s="97" t="s">
        <v>857</v>
      </c>
      <c r="R77" s="67" t="s">
        <v>32</v>
      </c>
      <c r="S77" s="86" t="s">
        <v>858</v>
      </c>
      <c r="T77" s="67" t="s">
        <v>698</v>
      </c>
    </row>
    <row r="78" spans="2:20">
      <c r="B78" s="67" t="s">
        <v>859</v>
      </c>
      <c r="C78" s="67" t="s">
        <v>860</v>
      </c>
      <c r="D78" s="67" t="s">
        <v>698</v>
      </c>
      <c r="E78" s="67" t="s">
        <v>494</v>
      </c>
      <c r="F78" s="67" t="s">
        <v>495</v>
      </c>
      <c r="G78" s="67" t="s">
        <v>495</v>
      </c>
      <c r="H78" s="67" t="s">
        <v>861</v>
      </c>
      <c r="I78" s="67" t="s">
        <v>862</v>
      </c>
      <c r="J78" s="67" t="s">
        <v>498</v>
      </c>
      <c r="K78" s="66">
        <v>221012523314</v>
      </c>
      <c r="L78" s="67" t="s">
        <v>320</v>
      </c>
      <c r="M78" s="67" t="s">
        <v>320</v>
      </c>
      <c r="N78" s="67" t="s">
        <v>320</v>
      </c>
      <c r="O78" s="67" t="s">
        <v>482</v>
      </c>
      <c r="P78" s="67" t="s">
        <v>32</v>
      </c>
      <c r="Q78" s="97" t="s">
        <v>863</v>
      </c>
      <c r="R78" s="67" t="s">
        <v>32</v>
      </c>
      <c r="S78" s="86" t="s">
        <v>864</v>
      </c>
      <c r="T78" s="67" t="s">
        <v>698</v>
      </c>
    </row>
    <row r="79" spans="2:20">
      <c r="B79" s="67" t="s">
        <v>865</v>
      </c>
      <c r="C79" s="67" t="s">
        <v>866</v>
      </c>
      <c r="D79" s="67" t="s">
        <v>698</v>
      </c>
      <c r="E79" s="67" t="s">
        <v>494</v>
      </c>
      <c r="F79" s="67" t="s">
        <v>495</v>
      </c>
      <c r="G79" s="67" t="s">
        <v>495</v>
      </c>
      <c r="H79" s="67" t="s">
        <v>867</v>
      </c>
      <c r="I79" s="67" t="s">
        <v>868</v>
      </c>
      <c r="J79" s="67" t="s">
        <v>498</v>
      </c>
      <c r="K79" s="66">
        <v>221010884314</v>
      </c>
      <c r="L79" s="67" t="s">
        <v>320</v>
      </c>
      <c r="M79" s="67" t="s">
        <v>320</v>
      </c>
      <c r="N79" s="67" t="s">
        <v>320</v>
      </c>
      <c r="O79" s="67" t="s">
        <v>482</v>
      </c>
      <c r="P79" s="67" t="s">
        <v>32</v>
      </c>
      <c r="Q79" s="97" t="s">
        <v>869</v>
      </c>
      <c r="R79" s="67" t="s">
        <v>32</v>
      </c>
      <c r="S79" s="86" t="s">
        <v>870</v>
      </c>
      <c r="T79" s="67" t="s">
        <v>698</v>
      </c>
    </row>
    <row r="80" spans="2:20">
      <c r="B80" s="67" t="s">
        <v>898</v>
      </c>
      <c r="C80" s="67" t="s">
        <v>899</v>
      </c>
      <c r="D80" s="67" t="s">
        <v>698</v>
      </c>
      <c r="E80" s="67" t="s">
        <v>20</v>
      </c>
      <c r="F80" s="67" t="s">
        <v>25</v>
      </c>
      <c r="G80" s="67" t="s">
        <v>313</v>
      </c>
      <c r="H80" s="67" t="s">
        <v>872</v>
      </c>
      <c r="I80" s="67" t="s">
        <v>320</v>
      </c>
      <c r="J80" s="67" t="s">
        <v>25</v>
      </c>
      <c r="K80" s="66" t="s">
        <v>900</v>
      </c>
      <c r="L80" s="67" t="s">
        <v>875</v>
      </c>
      <c r="M80" s="67" t="s">
        <v>429</v>
      </c>
      <c r="N80" s="67" t="s">
        <v>137</v>
      </c>
      <c r="O80" s="67" t="s">
        <v>482</v>
      </c>
      <c r="P80" s="67" t="s">
        <v>25</v>
      </c>
      <c r="Q80" s="98" t="s">
        <v>901</v>
      </c>
      <c r="R80" s="67" t="s">
        <v>32</v>
      </c>
      <c r="S80" s="67" t="s">
        <v>902</v>
      </c>
      <c r="T80" s="67" t="s">
        <v>698</v>
      </c>
    </row>
    <row r="81" spans="2:9">
      <c r="B81" s="67" t="s">
        <v>903</v>
      </c>
      <c r="C81" s="67" t="s">
        <v>904</v>
      </c>
      <c r="D81" s="67" t="s">
        <v>698</v>
      </c>
      <c r="E81" s="67" t="s">
        <v>20</v>
      </c>
      <c r="F81" s="67" t="s">
        <v>25</v>
      </c>
      <c r="G81" s="67" t="s">
        <v>313</v>
      </c>
      <c r="H81" s="67" t="s">
        <v>872</v>
      </c>
      <c r="I81" s="67" t="s">
        <v>905</v>
      </c>
    </row>
  </sheetData>
  <mergeCells count="1">
    <mergeCell ref="A1:U1"/>
  </mergeCells>
  <phoneticPr fontId="38" type="noConversion"/>
  <pageMargins left="0.25" right="0.25" top="0.75" bottom="0.75" header="0.3" footer="0.3"/>
  <pageSetup paperSize="9" scale="3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2287-A89B-48FC-B7D3-75F441F505D1}">
  <sheetPr>
    <tabColor theme="9"/>
  </sheetPr>
  <dimension ref="A1:J93"/>
  <sheetViews>
    <sheetView workbookViewId="0">
      <selection activeCell="F5" sqref="F5"/>
    </sheetView>
  </sheetViews>
  <sheetFormatPr defaultRowHeight="15.6"/>
  <cols>
    <col min="1" max="1" width="7.33203125" style="101" customWidth="1"/>
    <col min="2" max="2" width="11.33203125" style="101" customWidth="1"/>
    <col min="3" max="3" width="36.33203125" style="101" customWidth="1"/>
    <col min="4" max="4" width="10.77734375" style="101" customWidth="1"/>
    <col min="5" max="5" width="35" style="101" customWidth="1"/>
    <col min="6" max="7" width="8.88671875" style="101"/>
    <col min="8" max="8" width="25.44140625" style="101" customWidth="1"/>
    <col min="9" max="9" width="34" style="101" customWidth="1"/>
    <col min="10" max="10" width="14.109375" style="101" customWidth="1"/>
    <col min="11" max="11" width="10.44140625" style="101" customWidth="1"/>
    <col min="12" max="16384" width="8.88671875" style="101"/>
  </cols>
  <sheetData>
    <row r="1" spans="1:5">
      <c r="A1" s="109" t="s">
        <v>997</v>
      </c>
      <c r="B1" s="109"/>
      <c r="C1" s="109"/>
      <c r="D1" s="109"/>
      <c r="E1" s="109"/>
    </row>
    <row r="2" spans="1:5">
      <c r="A2" s="100"/>
      <c r="B2" s="100"/>
      <c r="C2" s="100"/>
      <c r="D2" s="100"/>
      <c r="E2" s="100"/>
    </row>
    <row r="3" spans="1:5" s="102" customFormat="1" ht="28.2" customHeight="1">
      <c r="A3" s="99" t="s">
        <v>998</v>
      </c>
      <c r="B3" s="99" t="s">
        <v>999</v>
      </c>
      <c r="C3" s="99" t="s">
        <v>1007</v>
      </c>
      <c r="D3" s="99" t="s">
        <v>1008</v>
      </c>
      <c r="E3" s="99" t="s">
        <v>1006</v>
      </c>
    </row>
    <row r="4" spans="1:5">
      <c r="A4" s="100">
        <v>1</v>
      </c>
      <c r="B4" s="100" t="s">
        <v>990</v>
      </c>
      <c r="C4" s="100" t="s">
        <v>907</v>
      </c>
      <c r="D4" s="100" t="s">
        <v>485</v>
      </c>
      <c r="E4" s="100" t="s">
        <v>1009</v>
      </c>
    </row>
    <row r="5" spans="1:5">
      <c r="A5" s="100">
        <v>2</v>
      </c>
      <c r="B5" s="100" t="s">
        <v>990</v>
      </c>
      <c r="C5" s="100" t="s">
        <v>1083</v>
      </c>
      <c r="D5" s="100" t="s">
        <v>996</v>
      </c>
      <c r="E5" s="100" t="s">
        <v>1010</v>
      </c>
    </row>
    <row r="6" spans="1:5">
      <c r="A6" s="100">
        <v>3</v>
      </c>
      <c r="B6" s="100" t="s">
        <v>990</v>
      </c>
      <c r="C6" s="100" t="s">
        <v>911</v>
      </c>
      <c r="D6" s="100" t="s">
        <v>996</v>
      </c>
      <c r="E6" s="100" t="s">
        <v>988</v>
      </c>
    </row>
    <row r="7" spans="1:5">
      <c r="A7" s="100">
        <v>4</v>
      </c>
      <c r="B7" s="100" t="s">
        <v>990</v>
      </c>
      <c r="C7" s="100" t="s">
        <v>1011</v>
      </c>
      <c r="D7" s="100" t="s">
        <v>996</v>
      </c>
      <c r="E7" s="100" t="s">
        <v>1012</v>
      </c>
    </row>
    <row r="8" spans="1:5">
      <c r="A8" s="100">
        <v>5</v>
      </c>
      <c r="B8" s="100" t="s">
        <v>990</v>
      </c>
      <c r="C8" s="100" t="s">
        <v>914</v>
      </c>
      <c r="D8" s="100" t="s">
        <v>996</v>
      </c>
      <c r="E8" s="100" t="s">
        <v>1013</v>
      </c>
    </row>
    <row r="9" spans="1:5">
      <c r="A9" s="100">
        <v>6</v>
      </c>
      <c r="B9" s="100" t="s">
        <v>990</v>
      </c>
      <c r="C9" s="100" t="s">
        <v>1082</v>
      </c>
      <c r="D9" s="100" t="s">
        <v>485</v>
      </c>
      <c r="E9" s="100" t="s">
        <v>1019</v>
      </c>
    </row>
    <row r="10" spans="1:5">
      <c r="A10" s="100">
        <v>7</v>
      </c>
      <c r="B10" s="100" t="s">
        <v>990</v>
      </c>
      <c r="C10" s="100" t="s">
        <v>921</v>
      </c>
      <c r="D10" s="100" t="s">
        <v>485</v>
      </c>
      <c r="E10" s="100" t="s">
        <v>1014</v>
      </c>
    </row>
    <row r="11" spans="1:5">
      <c r="A11" s="100">
        <v>8</v>
      </c>
      <c r="B11" s="100" t="s">
        <v>990</v>
      </c>
      <c r="C11" s="100" t="s">
        <v>1081</v>
      </c>
      <c r="D11" s="100" t="s">
        <v>996</v>
      </c>
      <c r="E11" s="100" t="s">
        <v>1015</v>
      </c>
    </row>
    <row r="12" spans="1:5">
      <c r="A12" s="100">
        <v>9</v>
      </c>
      <c r="B12" s="100" t="s">
        <v>990</v>
      </c>
      <c r="C12" s="100" t="s">
        <v>1080</v>
      </c>
      <c r="D12" s="100" t="s">
        <v>485</v>
      </c>
      <c r="E12" s="100" t="s">
        <v>1016</v>
      </c>
    </row>
    <row r="13" spans="1:5">
      <c r="A13" s="100">
        <v>10</v>
      </c>
      <c r="B13" s="100" t="s">
        <v>990</v>
      </c>
      <c r="C13" s="100" t="s">
        <v>1079</v>
      </c>
      <c r="D13" s="100" t="s">
        <v>485</v>
      </c>
      <c r="E13" s="100" t="s">
        <v>1017</v>
      </c>
    </row>
    <row r="14" spans="1:5">
      <c r="A14" s="100">
        <v>11</v>
      </c>
      <c r="B14" s="100" t="s">
        <v>990</v>
      </c>
      <c r="C14" s="100" t="s">
        <v>924</v>
      </c>
      <c r="D14" s="100" t="s">
        <v>485</v>
      </c>
      <c r="E14" s="100" t="s">
        <v>1018</v>
      </c>
    </row>
    <row r="15" spans="1:5">
      <c r="A15" s="100">
        <v>12</v>
      </c>
      <c r="B15" s="100" t="s">
        <v>1000</v>
      </c>
      <c r="C15" s="100" t="s">
        <v>929</v>
      </c>
      <c r="D15" s="100" t="s">
        <v>996</v>
      </c>
      <c r="E15" s="100" t="s">
        <v>930</v>
      </c>
    </row>
    <row r="16" spans="1:5">
      <c r="A16" s="100">
        <v>13</v>
      </c>
      <c r="B16" s="100" t="s">
        <v>1000</v>
      </c>
      <c r="C16" s="100" t="s">
        <v>931</v>
      </c>
      <c r="D16" s="100" t="s">
        <v>485</v>
      </c>
      <c r="E16" s="100" t="s">
        <v>501</v>
      </c>
    </row>
    <row r="17" spans="1:5">
      <c r="A17" s="100">
        <v>14</v>
      </c>
      <c r="B17" s="100" t="s">
        <v>1000</v>
      </c>
      <c r="C17" s="100" t="s">
        <v>935</v>
      </c>
      <c r="D17" s="100" t="s">
        <v>996</v>
      </c>
      <c r="E17" s="100" t="s">
        <v>937</v>
      </c>
    </row>
    <row r="18" spans="1:5">
      <c r="A18" s="100">
        <v>15</v>
      </c>
      <c r="B18" s="100" t="s">
        <v>1000</v>
      </c>
      <c r="C18" s="100" t="s">
        <v>936</v>
      </c>
      <c r="D18" s="100" t="s">
        <v>996</v>
      </c>
      <c r="E18" s="100" t="s">
        <v>938</v>
      </c>
    </row>
    <row r="19" spans="1:5">
      <c r="A19" s="100">
        <v>16</v>
      </c>
      <c r="B19" s="100" t="s">
        <v>1000</v>
      </c>
      <c r="C19" s="100" t="s">
        <v>939</v>
      </c>
      <c r="D19" s="100" t="s">
        <v>485</v>
      </c>
      <c r="E19" s="100" t="s">
        <v>940</v>
      </c>
    </row>
    <row r="20" spans="1:5">
      <c r="A20" s="100">
        <v>17</v>
      </c>
      <c r="B20" s="100" t="s">
        <v>1000</v>
      </c>
      <c r="C20" s="100" t="s">
        <v>942</v>
      </c>
      <c r="D20" s="100" t="s">
        <v>996</v>
      </c>
      <c r="E20" s="100" t="s">
        <v>946</v>
      </c>
    </row>
    <row r="21" spans="1:5">
      <c r="A21" s="100">
        <v>18</v>
      </c>
      <c r="B21" s="100" t="s">
        <v>1000</v>
      </c>
      <c r="C21" s="100" t="s">
        <v>943</v>
      </c>
      <c r="D21" s="100" t="s">
        <v>996</v>
      </c>
      <c r="E21" s="100" t="s">
        <v>945</v>
      </c>
    </row>
    <row r="22" spans="1:5">
      <c r="A22" s="100">
        <v>19</v>
      </c>
      <c r="B22" s="100" t="s">
        <v>1000</v>
      </c>
      <c r="C22" s="100" t="s">
        <v>944</v>
      </c>
      <c r="D22" s="100" t="s">
        <v>996</v>
      </c>
      <c r="E22" s="100" t="s">
        <v>947</v>
      </c>
    </row>
    <row r="23" spans="1:5">
      <c r="A23" s="100">
        <v>20</v>
      </c>
      <c r="B23" s="100" t="s">
        <v>1000</v>
      </c>
      <c r="C23" s="100" t="s">
        <v>948</v>
      </c>
      <c r="D23" s="100" t="s">
        <v>485</v>
      </c>
      <c r="E23" s="100" t="s">
        <v>949</v>
      </c>
    </row>
    <row r="24" spans="1:5">
      <c r="A24" s="100">
        <v>21</v>
      </c>
      <c r="B24" s="100" t="s">
        <v>485</v>
      </c>
      <c r="C24" s="100" t="s">
        <v>953</v>
      </c>
      <c r="D24" s="100" t="s">
        <v>996</v>
      </c>
      <c r="E24" s="100" t="s">
        <v>952</v>
      </c>
    </row>
    <row r="25" spans="1:5">
      <c r="A25" s="100">
        <v>22</v>
      </c>
      <c r="B25" s="100" t="s">
        <v>485</v>
      </c>
      <c r="C25" s="100" t="s">
        <v>955</v>
      </c>
      <c r="D25" s="100" t="s">
        <v>996</v>
      </c>
      <c r="E25" s="100" t="s">
        <v>956</v>
      </c>
    </row>
    <row r="26" spans="1:5">
      <c r="A26" s="100">
        <v>23</v>
      </c>
      <c r="B26" s="100" t="s">
        <v>485</v>
      </c>
      <c r="C26" s="100" t="s">
        <v>957</v>
      </c>
      <c r="D26" s="100" t="s">
        <v>996</v>
      </c>
      <c r="E26" s="100" t="s">
        <v>960</v>
      </c>
    </row>
    <row r="27" spans="1:5">
      <c r="A27" s="100">
        <v>24</v>
      </c>
      <c r="B27" s="100" t="s">
        <v>485</v>
      </c>
      <c r="C27" s="100" t="s">
        <v>958</v>
      </c>
      <c r="D27" s="100" t="s">
        <v>996</v>
      </c>
      <c r="E27" s="100" t="s">
        <v>961</v>
      </c>
    </row>
    <row r="28" spans="1:5">
      <c r="A28" s="100">
        <v>25</v>
      </c>
      <c r="B28" s="100" t="s">
        <v>485</v>
      </c>
      <c r="C28" s="100" t="s">
        <v>959</v>
      </c>
      <c r="D28" s="100" t="s">
        <v>485</v>
      </c>
      <c r="E28" s="100" t="s">
        <v>962</v>
      </c>
    </row>
    <row r="29" spans="1:5">
      <c r="A29" s="100">
        <v>26</v>
      </c>
      <c r="B29" s="100" t="s">
        <v>334</v>
      </c>
      <c r="C29" s="100" t="s">
        <v>1001</v>
      </c>
      <c r="D29" s="100" t="s">
        <v>996</v>
      </c>
      <c r="E29" s="100" t="s">
        <v>1072</v>
      </c>
    </row>
    <row r="30" spans="1:5">
      <c r="A30" s="100">
        <v>27</v>
      </c>
      <c r="B30" s="100" t="s">
        <v>1002</v>
      </c>
      <c r="C30" s="100" t="s">
        <v>259</v>
      </c>
      <c r="D30" s="100" t="s">
        <v>485</v>
      </c>
      <c r="E30" s="100" t="s">
        <v>971</v>
      </c>
    </row>
    <row r="31" spans="1:5">
      <c r="A31" s="100">
        <v>28</v>
      </c>
      <c r="B31" s="100" t="s">
        <v>978</v>
      </c>
      <c r="C31" s="100" t="s">
        <v>1003</v>
      </c>
      <c r="D31" s="100" t="s">
        <v>485</v>
      </c>
      <c r="E31" s="100" t="s">
        <v>979</v>
      </c>
    </row>
    <row r="32" spans="1:5">
      <c r="A32" s="100">
        <v>29</v>
      </c>
      <c r="B32" s="100" t="s">
        <v>1004</v>
      </c>
      <c r="C32" s="100" t="s">
        <v>1005</v>
      </c>
      <c r="D32" s="100" t="s">
        <v>996</v>
      </c>
      <c r="E32" s="100" t="s">
        <v>1071</v>
      </c>
    </row>
    <row r="33" spans="1:9">
      <c r="A33" s="100">
        <v>30</v>
      </c>
      <c r="B33" s="100" t="s">
        <v>1042</v>
      </c>
      <c r="C33" s="100" t="s">
        <v>1039</v>
      </c>
      <c r="D33" s="100" t="s">
        <v>996</v>
      </c>
      <c r="E33" s="100" t="s">
        <v>1047</v>
      </c>
    </row>
    <row r="34" spans="1:9">
      <c r="A34" s="100">
        <v>31</v>
      </c>
      <c r="B34" s="100" t="s">
        <v>954</v>
      </c>
      <c r="C34" s="100" t="s">
        <v>1021</v>
      </c>
      <c r="D34" s="100" t="s">
        <v>485</v>
      </c>
      <c r="E34" s="100" t="s">
        <v>1020</v>
      </c>
    </row>
    <row r="35" spans="1:9">
      <c r="A35" s="100">
        <v>32</v>
      </c>
      <c r="B35" s="100" t="s">
        <v>954</v>
      </c>
      <c r="C35" s="100" t="s">
        <v>1021</v>
      </c>
      <c r="D35" s="100" t="s">
        <v>485</v>
      </c>
      <c r="E35" s="100" t="s">
        <v>1022</v>
      </c>
    </row>
    <row r="36" spans="1:9">
      <c r="A36" s="100">
        <v>33</v>
      </c>
      <c r="B36" s="100" t="s">
        <v>906</v>
      </c>
      <c r="C36" s="100" t="s">
        <v>1024</v>
      </c>
      <c r="D36" s="100" t="s">
        <v>485</v>
      </c>
      <c r="E36" s="100" t="s">
        <v>1023</v>
      </c>
    </row>
    <row r="37" spans="1:9">
      <c r="A37" s="100">
        <v>34</v>
      </c>
      <c r="B37" s="101" t="s">
        <v>1078</v>
      </c>
      <c r="C37" s="100" t="s">
        <v>1063</v>
      </c>
      <c r="D37" s="100" t="s">
        <v>996</v>
      </c>
      <c r="E37" s="100" t="s">
        <v>1075</v>
      </c>
    </row>
    <row r="38" spans="1:9">
      <c r="A38" s="100">
        <v>35</v>
      </c>
      <c r="B38" s="101" t="s">
        <v>1078</v>
      </c>
      <c r="C38" s="100" t="s">
        <v>1064</v>
      </c>
      <c r="D38" s="100" t="s">
        <v>996</v>
      </c>
      <c r="E38" s="100" t="s">
        <v>1076</v>
      </c>
    </row>
    <row r="39" spans="1:9">
      <c r="A39" s="100">
        <v>36</v>
      </c>
      <c r="B39" s="101" t="s">
        <v>1078</v>
      </c>
      <c r="C39" s="100" t="s">
        <v>1065</v>
      </c>
      <c r="D39" s="100" t="s">
        <v>996</v>
      </c>
      <c r="E39" s="100" t="s">
        <v>1077</v>
      </c>
    </row>
    <row r="41" spans="1:9">
      <c r="C41" s="101" t="s">
        <v>1045</v>
      </c>
    </row>
    <row r="42" spans="1:9">
      <c r="A42" s="100">
        <v>33</v>
      </c>
      <c r="B42" s="100" t="s">
        <v>982</v>
      </c>
      <c r="C42" s="100"/>
      <c r="D42" s="100" t="s">
        <v>485</v>
      </c>
      <c r="E42" s="100" t="s">
        <v>1025</v>
      </c>
      <c r="F42" s="100"/>
      <c r="G42" s="100">
        <v>1</v>
      </c>
      <c r="H42" s="100" t="s">
        <v>1029</v>
      </c>
      <c r="I42" s="100"/>
    </row>
    <row r="43" spans="1:9">
      <c r="A43" s="100">
        <v>34</v>
      </c>
      <c r="B43" s="100" t="s">
        <v>982</v>
      </c>
      <c r="C43" s="100"/>
      <c r="D43" s="100" t="s">
        <v>485</v>
      </c>
      <c r="E43" s="100" t="s">
        <v>1026</v>
      </c>
      <c r="F43" s="100"/>
      <c r="G43" s="104">
        <v>0</v>
      </c>
      <c r="H43" s="100" t="s">
        <v>1029</v>
      </c>
      <c r="I43" s="100"/>
    </row>
    <row r="44" spans="1:9">
      <c r="A44" s="100">
        <v>35</v>
      </c>
      <c r="B44" s="100" t="s">
        <v>982</v>
      </c>
      <c r="C44" s="100"/>
      <c r="D44" s="100" t="s">
        <v>485</v>
      </c>
      <c r="E44" s="100" t="s">
        <v>1027</v>
      </c>
      <c r="F44" s="100"/>
      <c r="G44" s="100">
        <v>1</v>
      </c>
      <c r="H44" s="100" t="s">
        <v>1029</v>
      </c>
      <c r="I44" s="100"/>
    </row>
    <row r="45" spans="1:9">
      <c r="A45" s="100">
        <v>36</v>
      </c>
      <c r="B45" s="100" t="s">
        <v>982</v>
      </c>
      <c r="C45" s="100"/>
      <c r="D45" s="100" t="s">
        <v>485</v>
      </c>
      <c r="E45" s="100" t="s">
        <v>1028</v>
      </c>
      <c r="F45" s="100"/>
      <c r="G45" s="104">
        <v>0</v>
      </c>
      <c r="H45" s="100" t="s">
        <v>1029</v>
      </c>
      <c r="I45" s="100"/>
    </row>
    <row r="46" spans="1:9">
      <c r="A46" s="100">
        <v>37</v>
      </c>
      <c r="B46" s="100" t="s">
        <v>982</v>
      </c>
      <c r="C46" s="100"/>
      <c r="D46" s="100" t="s">
        <v>994</v>
      </c>
      <c r="E46" s="100" t="s">
        <v>1070</v>
      </c>
      <c r="F46" s="100"/>
      <c r="G46" s="100">
        <v>2</v>
      </c>
      <c r="H46" s="100" t="s">
        <v>1029</v>
      </c>
      <c r="I46" s="100"/>
    </row>
    <row r="47" spans="1:9">
      <c r="A47" s="100">
        <v>38</v>
      </c>
      <c r="B47" s="100" t="s">
        <v>982</v>
      </c>
      <c r="C47" s="100"/>
      <c r="D47" s="100" t="s">
        <v>954</v>
      </c>
      <c r="E47" s="100" t="s">
        <v>1030</v>
      </c>
      <c r="F47" s="100"/>
      <c r="G47" s="100">
        <v>1</v>
      </c>
      <c r="H47" s="100" t="s">
        <v>1029</v>
      </c>
      <c r="I47" s="100"/>
    </row>
    <row r="48" spans="1:9">
      <c r="A48" s="100">
        <v>39</v>
      </c>
      <c r="B48" s="100" t="s">
        <v>982</v>
      </c>
      <c r="C48" s="100"/>
      <c r="D48" s="100" t="s">
        <v>954</v>
      </c>
      <c r="E48" s="100" t="s">
        <v>1086</v>
      </c>
      <c r="F48" s="100"/>
      <c r="G48" s="100">
        <v>2</v>
      </c>
      <c r="H48" s="100" t="s">
        <v>1029</v>
      </c>
      <c r="I48" s="100"/>
    </row>
    <row r="49" spans="1:9">
      <c r="A49" s="100">
        <v>40</v>
      </c>
      <c r="B49" s="100" t="s">
        <v>982</v>
      </c>
      <c r="C49" s="100"/>
      <c r="D49" s="100" t="s">
        <v>1031</v>
      </c>
      <c r="E49" s="100" t="s">
        <v>1069</v>
      </c>
      <c r="F49" s="100"/>
      <c r="G49" s="104">
        <v>0</v>
      </c>
      <c r="H49" s="100" t="s">
        <v>1029</v>
      </c>
      <c r="I49" s="100" t="s">
        <v>1032</v>
      </c>
    </row>
    <row r="50" spans="1:9">
      <c r="A50" s="100">
        <v>41</v>
      </c>
      <c r="B50" s="100" t="s">
        <v>982</v>
      </c>
      <c r="C50" s="100"/>
      <c r="D50" s="100" t="s">
        <v>485</v>
      </c>
      <c r="E50" s="100" t="s">
        <v>1033</v>
      </c>
      <c r="F50" s="100"/>
      <c r="G50" s="100">
        <v>2</v>
      </c>
      <c r="H50" s="100" t="s">
        <v>1029</v>
      </c>
      <c r="I50" s="100"/>
    </row>
    <row r="51" spans="1:9">
      <c r="A51" s="100">
        <v>42</v>
      </c>
      <c r="B51" s="100" t="s">
        <v>982</v>
      </c>
      <c r="C51" s="100"/>
      <c r="D51" s="100" t="s">
        <v>954</v>
      </c>
      <c r="E51" s="100" t="s">
        <v>1034</v>
      </c>
      <c r="F51" s="100"/>
      <c r="G51" s="104">
        <v>0</v>
      </c>
      <c r="H51" s="100" t="s">
        <v>1029</v>
      </c>
      <c r="I51" s="100" t="s">
        <v>1032</v>
      </c>
    </row>
    <row r="52" spans="1:9">
      <c r="A52" s="100">
        <v>43</v>
      </c>
      <c r="B52" s="100" t="s">
        <v>982</v>
      </c>
      <c r="C52" s="100"/>
      <c r="D52" s="100" t="s">
        <v>485</v>
      </c>
      <c r="E52" s="100" t="s">
        <v>1035</v>
      </c>
      <c r="F52" s="100"/>
      <c r="G52" s="100">
        <v>2</v>
      </c>
      <c r="H52" s="100" t="s">
        <v>1029</v>
      </c>
      <c r="I52" s="100"/>
    </row>
    <row r="53" spans="1:9">
      <c r="A53" s="100">
        <v>44</v>
      </c>
      <c r="B53" s="100" t="s">
        <v>982</v>
      </c>
      <c r="C53" s="100"/>
      <c r="D53" s="100" t="s">
        <v>954</v>
      </c>
      <c r="E53" s="100" t="s">
        <v>1036</v>
      </c>
      <c r="F53" s="100"/>
      <c r="G53" s="104">
        <v>0</v>
      </c>
      <c r="H53" s="100" t="s">
        <v>1029</v>
      </c>
      <c r="I53" s="100" t="s">
        <v>1032</v>
      </c>
    </row>
    <row r="54" spans="1:9">
      <c r="A54" s="100">
        <v>45</v>
      </c>
      <c r="B54" s="100" t="s">
        <v>982</v>
      </c>
      <c r="C54" s="100"/>
      <c r="D54" s="100" t="s">
        <v>954</v>
      </c>
      <c r="E54" s="100" t="s">
        <v>1037</v>
      </c>
      <c r="F54" s="100"/>
      <c r="G54" s="100">
        <v>2</v>
      </c>
      <c r="H54" s="100" t="s">
        <v>1029</v>
      </c>
      <c r="I54" s="100"/>
    </row>
    <row r="55" spans="1:9">
      <c r="A55" s="100">
        <v>46</v>
      </c>
      <c r="B55" s="100" t="s">
        <v>982</v>
      </c>
      <c r="C55" s="100"/>
      <c r="D55" s="100" t="s">
        <v>954</v>
      </c>
      <c r="E55" s="100" t="s">
        <v>1038</v>
      </c>
      <c r="F55" s="100"/>
      <c r="G55" s="104">
        <v>0</v>
      </c>
      <c r="H55" s="100" t="s">
        <v>1029</v>
      </c>
      <c r="I55" s="100"/>
    </row>
    <row r="56" spans="1:9">
      <c r="A56" s="100">
        <v>47</v>
      </c>
      <c r="B56" s="100" t="s">
        <v>982</v>
      </c>
      <c r="C56" s="100"/>
      <c r="D56" s="100" t="s">
        <v>1042</v>
      </c>
      <c r="E56" s="103" t="s">
        <v>1039</v>
      </c>
      <c r="F56" s="100"/>
      <c r="G56" s="104">
        <v>0</v>
      </c>
      <c r="H56" s="100" t="s">
        <v>1029</v>
      </c>
      <c r="I56" s="100"/>
    </row>
    <row r="57" spans="1:9">
      <c r="A57" s="100">
        <v>48</v>
      </c>
      <c r="B57" s="100" t="s">
        <v>982</v>
      </c>
      <c r="C57" s="100"/>
      <c r="D57" s="100" t="s">
        <v>954</v>
      </c>
      <c r="E57" s="100" t="s">
        <v>1040</v>
      </c>
      <c r="F57" s="100"/>
      <c r="G57" s="104">
        <v>0</v>
      </c>
      <c r="H57" s="100" t="s">
        <v>1029</v>
      </c>
      <c r="I57" s="100"/>
    </row>
    <row r="58" spans="1:9">
      <c r="A58" s="100">
        <v>49</v>
      </c>
      <c r="B58" s="100" t="s">
        <v>982</v>
      </c>
      <c r="C58" s="100"/>
      <c r="D58" s="100" t="s">
        <v>954</v>
      </c>
      <c r="E58" s="100" t="s">
        <v>1041</v>
      </c>
      <c r="F58" s="100"/>
      <c r="G58" s="104">
        <v>0</v>
      </c>
      <c r="H58" s="100" t="s">
        <v>1029</v>
      </c>
      <c r="I58" s="100"/>
    </row>
    <row r="59" spans="1:9">
      <c r="A59" s="100">
        <v>50</v>
      </c>
      <c r="B59" s="100" t="s">
        <v>982</v>
      </c>
      <c r="C59" s="100"/>
      <c r="D59" s="100" t="s">
        <v>954</v>
      </c>
      <c r="E59" s="100" t="s">
        <v>1043</v>
      </c>
      <c r="F59" s="100"/>
      <c r="G59" s="104">
        <v>0</v>
      </c>
      <c r="H59" s="100" t="s">
        <v>1029</v>
      </c>
      <c r="I59" s="100"/>
    </row>
    <row r="60" spans="1:9">
      <c r="A60" s="100">
        <v>51</v>
      </c>
      <c r="B60" s="100" t="s">
        <v>982</v>
      </c>
      <c r="C60" s="100"/>
      <c r="D60" s="100" t="s">
        <v>954</v>
      </c>
      <c r="E60" s="100" t="s">
        <v>1044</v>
      </c>
      <c r="F60" s="100"/>
      <c r="G60" s="100">
        <v>1</v>
      </c>
      <c r="H60" s="100" t="s">
        <v>1029</v>
      </c>
      <c r="I60" s="100"/>
    </row>
    <row r="63" spans="1:9">
      <c r="C63" s="101" t="s">
        <v>1046</v>
      </c>
    </row>
    <row r="65" spans="1:10">
      <c r="A65" s="100">
        <v>52</v>
      </c>
      <c r="B65" s="100" t="s">
        <v>982</v>
      </c>
      <c r="C65" s="100"/>
      <c r="D65" s="100" t="s">
        <v>485</v>
      </c>
      <c r="E65" s="100" t="s">
        <v>1048</v>
      </c>
      <c r="F65" s="100"/>
      <c r="G65" s="104">
        <v>0</v>
      </c>
      <c r="H65" s="100" t="s">
        <v>1049</v>
      </c>
      <c r="I65" s="100"/>
      <c r="J65" s="100"/>
    </row>
    <row r="66" spans="1:10">
      <c r="A66" s="100">
        <v>53</v>
      </c>
      <c r="B66" s="100" t="s">
        <v>982</v>
      </c>
      <c r="C66" s="100"/>
      <c r="D66" s="100" t="s">
        <v>954</v>
      </c>
      <c r="E66" s="100" t="s">
        <v>1050</v>
      </c>
      <c r="F66" s="100"/>
      <c r="G66" s="104">
        <v>0</v>
      </c>
      <c r="H66" s="100" t="s">
        <v>1049</v>
      </c>
      <c r="I66" s="100" t="s">
        <v>1088</v>
      </c>
      <c r="J66" s="100" t="s">
        <v>1060</v>
      </c>
    </row>
    <row r="67" spans="1:10">
      <c r="A67" s="100">
        <v>54</v>
      </c>
      <c r="B67" s="100" t="s">
        <v>982</v>
      </c>
      <c r="C67" s="100"/>
      <c r="D67" s="100" t="s">
        <v>485</v>
      </c>
      <c r="E67" s="100" t="s">
        <v>1051</v>
      </c>
      <c r="F67" s="100"/>
      <c r="G67" s="104">
        <v>0</v>
      </c>
      <c r="H67" s="100" t="s">
        <v>1049</v>
      </c>
      <c r="I67" s="100"/>
      <c r="J67" s="100" t="s">
        <v>1060</v>
      </c>
    </row>
    <row r="68" spans="1:10">
      <c r="A68" s="100">
        <v>55</v>
      </c>
      <c r="B68" s="100" t="s">
        <v>982</v>
      </c>
      <c r="C68" s="100"/>
      <c r="D68" s="100" t="s">
        <v>485</v>
      </c>
      <c r="E68" s="100" t="s">
        <v>1052</v>
      </c>
      <c r="F68" s="100"/>
      <c r="G68" s="104">
        <v>0</v>
      </c>
      <c r="H68" s="100" t="s">
        <v>1049</v>
      </c>
      <c r="I68" s="100"/>
      <c r="J68" s="100"/>
    </row>
    <row r="69" spans="1:10">
      <c r="A69" s="100">
        <v>56</v>
      </c>
      <c r="B69" s="100" t="s">
        <v>982</v>
      </c>
      <c r="C69" s="100"/>
      <c r="D69" s="100" t="s">
        <v>485</v>
      </c>
      <c r="E69" s="100" t="s">
        <v>983</v>
      </c>
      <c r="F69" s="100"/>
      <c r="G69" s="104">
        <v>0</v>
      </c>
      <c r="H69" s="100" t="s">
        <v>1049</v>
      </c>
      <c r="I69" s="100" t="s">
        <v>1088</v>
      </c>
      <c r="J69" s="100" t="s">
        <v>1060</v>
      </c>
    </row>
    <row r="70" spans="1:10">
      <c r="A70" s="100">
        <v>57</v>
      </c>
      <c r="B70" s="100" t="s">
        <v>982</v>
      </c>
      <c r="C70" s="100"/>
      <c r="D70" s="100" t="s">
        <v>485</v>
      </c>
      <c r="E70" s="100" t="s">
        <v>1053</v>
      </c>
      <c r="F70" s="100"/>
      <c r="G70" s="104">
        <v>0</v>
      </c>
      <c r="H70" s="100" t="s">
        <v>1049</v>
      </c>
      <c r="I70" s="100" t="s">
        <v>1088</v>
      </c>
      <c r="J70" s="100" t="s">
        <v>1060</v>
      </c>
    </row>
    <row r="71" spans="1:10">
      <c r="A71" s="100">
        <v>58</v>
      </c>
      <c r="B71" s="100" t="s">
        <v>982</v>
      </c>
      <c r="C71" s="100"/>
      <c r="D71" s="100" t="s">
        <v>485</v>
      </c>
      <c r="E71" s="100" t="s">
        <v>1054</v>
      </c>
      <c r="F71" s="100"/>
      <c r="G71" s="104">
        <v>0</v>
      </c>
      <c r="H71" s="100" t="s">
        <v>1049</v>
      </c>
      <c r="I71" s="100"/>
      <c r="J71" s="100"/>
    </row>
    <row r="72" spans="1:10">
      <c r="A72" s="100">
        <v>59</v>
      </c>
      <c r="B72" s="100" t="s">
        <v>982</v>
      </c>
      <c r="C72" s="100"/>
      <c r="D72" s="100" t="s">
        <v>954</v>
      </c>
      <c r="E72" s="100" t="s">
        <v>1055</v>
      </c>
      <c r="F72" s="100"/>
      <c r="G72" s="104">
        <v>0</v>
      </c>
      <c r="H72" s="100" t="s">
        <v>1049</v>
      </c>
      <c r="I72" s="100" t="s">
        <v>1088</v>
      </c>
      <c r="J72" s="100"/>
    </row>
    <row r="73" spans="1:10">
      <c r="A73" s="100">
        <v>60</v>
      </c>
      <c r="B73" s="100" t="s">
        <v>982</v>
      </c>
      <c r="C73" s="100"/>
      <c r="D73" s="100" t="s">
        <v>485</v>
      </c>
      <c r="E73" s="100" t="s">
        <v>1056</v>
      </c>
      <c r="F73" s="100"/>
      <c r="G73" s="104">
        <v>0</v>
      </c>
      <c r="H73" s="100" t="s">
        <v>1049</v>
      </c>
      <c r="I73" s="100" t="s">
        <v>1088</v>
      </c>
      <c r="J73" s="100" t="s">
        <v>1057</v>
      </c>
    </row>
    <row r="74" spans="1:10">
      <c r="A74" s="100">
        <v>61</v>
      </c>
      <c r="B74" s="100" t="s">
        <v>982</v>
      </c>
      <c r="C74" s="100"/>
      <c r="D74" s="100" t="s">
        <v>1073</v>
      </c>
      <c r="E74" s="100" t="s">
        <v>1058</v>
      </c>
      <c r="F74" s="100"/>
      <c r="G74" s="104">
        <v>0</v>
      </c>
      <c r="H74" s="100" t="s">
        <v>1049</v>
      </c>
      <c r="I74" s="100"/>
      <c r="J74" s="100"/>
    </row>
    <row r="75" spans="1:10">
      <c r="A75" s="100">
        <v>63</v>
      </c>
      <c r="B75" s="100" t="s">
        <v>982</v>
      </c>
      <c r="C75" s="100"/>
      <c r="D75" s="100" t="s">
        <v>485</v>
      </c>
      <c r="E75" s="100" t="s">
        <v>1059</v>
      </c>
      <c r="F75" s="100"/>
      <c r="G75" s="104">
        <v>0</v>
      </c>
      <c r="H75" s="100" t="s">
        <v>1049</v>
      </c>
      <c r="I75" s="100"/>
      <c r="J75" s="100" t="s">
        <v>1060</v>
      </c>
    </row>
    <row r="76" spans="1:10">
      <c r="A76" s="100">
        <v>65</v>
      </c>
      <c r="B76" s="100" t="s">
        <v>982</v>
      </c>
      <c r="C76" s="100"/>
      <c r="D76" s="100" t="s">
        <v>954</v>
      </c>
      <c r="E76" s="100" t="s">
        <v>1061</v>
      </c>
      <c r="F76" s="100"/>
      <c r="G76" s="104">
        <v>0</v>
      </c>
      <c r="H76" s="100" t="s">
        <v>1049</v>
      </c>
      <c r="I76" s="100"/>
      <c r="J76" s="100" t="s">
        <v>1060</v>
      </c>
    </row>
    <row r="77" spans="1:10">
      <c r="A77" s="100">
        <v>66</v>
      </c>
      <c r="B77" s="100" t="s">
        <v>982</v>
      </c>
      <c r="C77" s="100"/>
      <c r="D77" s="100" t="s">
        <v>485</v>
      </c>
      <c r="E77" s="100" t="s">
        <v>1062</v>
      </c>
      <c r="F77" s="100"/>
      <c r="G77" s="100">
        <v>1</v>
      </c>
      <c r="H77" s="100" t="s">
        <v>1049</v>
      </c>
      <c r="I77" s="100"/>
      <c r="J77" s="100"/>
    </row>
    <row r="78" spans="1:10">
      <c r="A78" s="100">
        <v>70</v>
      </c>
      <c r="B78" s="100" t="s">
        <v>982</v>
      </c>
      <c r="C78" s="100"/>
      <c r="D78" s="100" t="s">
        <v>954</v>
      </c>
      <c r="E78" s="100" t="s">
        <v>1066</v>
      </c>
      <c r="F78" s="100"/>
      <c r="G78" s="100">
        <v>1</v>
      </c>
      <c r="H78" s="100" t="s">
        <v>1049</v>
      </c>
      <c r="I78" s="100"/>
      <c r="J78" s="100"/>
    </row>
    <row r="79" spans="1:10">
      <c r="A79" s="100">
        <v>71</v>
      </c>
      <c r="B79" s="100" t="s">
        <v>982</v>
      </c>
      <c r="C79" s="100"/>
      <c r="D79" s="100" t="s">
        <v>485</v>
      </c>
      <c r="E79" s="100" t="s">
        <v>1067</v>
      </c>
      <c r="F79" s="100"/>
      <c r="G79" s="100">
        <v>1</v>
      </c>
      <c r="H79" s="100" t="s">
        <v>1049</v>
      </c>
      <c r="I79" s="100"/>
      <c r="J79" s="100"/>
    </row>
    <row r="93" spans="5:5">
      <c r="E93" s="101">
        <f>59-27</f>
        <v>32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A62A-B628-44FC-8EA6-9A1223799B7F}">
  <sheetPr>
    <tabColor theme="9"/>
  </sheetPr>
  <dimension ref="A1:K74"/>
  <sheetViews>
    <sheetView topLeftCell="A50" zoomScale="103" workbookViewId="0">
      <selection activeCell="A56" sqref="A56"/>
    </sheetView>
  </sheetViews>
  <sheetFormatPr defaultRowHeight="14.4"/>
  <cols>
    <col min="1" max="1" width="22.77734375" customWidth="1"/>
    <col min="2" max="2" width="29" customWidth="1"/>
    <col min="4" max="4" width="29.44140625" customWidth="1"/>
    <col min="5" max="5" width="13" customWidth="1"/>
    <col min="6" max="6" width="14.6640625" customWidth="1"/>
    <col min="7" max="7" width="15" customWidth="1"/>
    <col min="10" max="10" width="12.88671875" customWidth="1"/>
  </cols>
  <sheetData>
    <row r="1" spans="1:11">
      <c r="A1" t="s">
        <v>906</v>
      </c>
    </row>
    <row r="3" spans="1:11">
      <c r="A3" t="s">
        <v>907</v>
      </c>
      <c r="B3" t="s">
        <v>908</v>
      </c>
      <c r="C3" t="s">
        <v>909</v>
      </c>
      <c r="D3" t="s">
        <v>485</v>
      </c>
      <c r="E3" t="s">
        <v>912</v>
      </c>
      <c r="F3" t="s">
        <v>910</v>
      </c>
    </row>
    <row r="4" spans="1:11">
      <c r="A4" t="s">
        <v>911</v>
      </c>
      <c r="B4" t="s">
        <v>988</v>
      </c>
      <c r="D4" t="s">
        <v>996</v>
      </c>
      <c r="E4" t="s">
        <v>912</v>
      </c>
      <c r="F4" t="s">
        <v>910</v>
      </c>
    </row>
    <row r="5" spans="1:11">
      <c r="A5" t="s">
        <v>927</v>
      </c>
      <c r="B5" t="s">
        <v>988</v>
      </c>
      <c r="D5" t="s">
        <v>996</v>
      </c>
      <c r="E5" t="s">
        <v>912</v>
      </c>
      <c r="F5" t="s">
        <v>910</v>
      </c>
    </row>
    <row r="6" spans="1:11">
      <c r="A6" t="s">
        <v>914</v>
      </c>
      <c r="B6" t="s">
        <v>989</v>
      </c>
      <c r="D6" t="s">
        <v>996</v>
      </c>
      <c r="E6" t="s">
        <v>912</v>
      </c>
      <c r="F6" t="s">
        <v>910</v>
      </c>
    </row>
    <row r="7" spans="1:11">
      <c r="A7" t="s">
        <v>915</v>
      </c>
      <c r="B7" t="s">
        <v>988</v>
      </c>
      <c r="D7" t="s">
        <v>996</v>
      </c>
      <c r="E7" t="s">
        <v>912</v>
      </c>
      <c r="F7" t="s">
        <v>910</v>
      </c>
    </row>
    <row r="8" spans="1:11">
      <c r="A8" t="s">
        <v>916</v>
      </c>
      <c r="B8" t="s">
        <v>917</v>
      </c>
      <c r="C8" t="s">
        <v>918</v>
      </c>
      <c r="D8" t="s">
        <v>485</v>
      </c>
      <c r="E8" t="s">
        <v>912</v>
      </c>
      <c r="F8" t="s">
        <v>910</v>
      </c>
    </row>
    <row r="9" spans="1:11">
      <c r="A9" t="s">
        <v>921</v>
      </c>
      <c r="B9" t="s">
        <v>919</v>
      </c>
      <c r="C9" t="s">
        <v>920</v>
      </c>
      <c r="D9" t="s">
        <v>485</v>
      </c>
      <c r="E9" t="s">
        <v>912</v>
      </c>
      <c r="F9" t="s">
        <v>910</v>
      </c>
      <c r="J9" t="s">
        <v>990</v>
      </c>
      <c r="K9">
        <v>9</v>
      </c>
    </row>
    <row r="10" spans="1:11">
      <c r="A10" t="s">
        <v>922</v>
      </c>
      <c r="B10" t="s">
        <v>995</v>
      </c>
      <c r="D10" t="s">
        <v>996</v>
      </c>
      <c r="E10" t="s">
        <v>912</v>
      </c>
      <c r="J10" t="s">
        <v>991</v>
      </c>
      <c r="K10">
        <v>9</v>
      </c>
    </row>
    <row r="11" spans="1:11">
      <c r="A11" t="s">
        <v>923</v>
      </c>
      <c r="D11" t="s">
        <v>485</v>
      </c>
      <c r="E11" t="s">
        <v>912</v>
      </c>
      <c r="J11" t="s">
        <v>485</v>
      </c>
      <c r="K11">
        <v>5</v>
      </c>
    </row>
    <row r="12" spans="1:11">
      <c r="A12" t="s">
        <v>924</v>
      </c>
      <c r="B12" t="s">
        <v>925</v>
      </c>
      <c r="C12" t="s">
        <v>926</v>
      </c>
      <c r="D12" t="s">
        <v>485</v>
      </c>
      <c r="E12" t="s">
        <v>912</v>
      </c>
      <c r="J12" t="s">
        <v>334</v>
      </c>
      <c r="K12">
        <v>1</v>
      </c>
    </row>
    <row r="13" spans="1:11">
      <c r="J13" t="s">
        <v>992</v>
      </c>
      <c r="K13">
        <v>1</v>
      </c>
    </row>
    <row r="14" spans="1:11">
      <c r="J14" t="s">
        <v>993</v>
      </c>
      <c r="K14">
        <v>1</v>
      </c>
    </row>
    <row r="15" spans="1:11">
      <c r="A15" t="s">
        <v>928</v>
      </c>
      <c r="J15" t="s">
        <v>994</v>
      </c>
      <c r="K15">
        <v>1</v>
      </c>
    </row>
    <row r="17" spans="1:11">
      <c r="A17" t="s">
        <v>929</v>
      </c>
      <c r="B17" t="s">
        <v>930</v>
      </c>
      <c r="D17" t="s">
        <v>698</v>
      </c>
      <c r="E17" t="s">
        <v>912</v>
      </c>
      <c r="F17" t="s">
        <v>934</v>
      </c>
      <c r="K17">
        <f>SUM(K9:K15)</f>
        <v>27</v>
      </c>
    </row>
    <row r="18" spans="1:11">
      <c r="A18" t="s">
        <v>931</v>
      </c>
      <c r="B18" t="s">
        <v>501</v>
      </c>
      <c r="D18" t="s">
        <v>485</v>
      </c>
      <c r="E18" t="s">
        <v>912</v>
      </c>
      <c r="F18" t="s">
        <v>932</v>
      </c>
      <c r="G18" t="s">
        <v>933</v>
      </c>
    </row>
    <row r="19" spans="1:11">
      <c r="A19" t="s">
        <v>935</v>
      </c>
      <c r="B19" t="s">
        <v>937</v>
      </c>
      <c r="D19" t="s">
        <v>698</v>
      </c>
      <c r="F19" t="s">
        <v>913</v>
      </c>
    </row>
    <row r="20" spans="1:11">
      <c r="A20" t="s">
        <v>936</v>
      </c>
      <c r="B20" t="s">
        <v>938</v>
      </c>
      <c r="D20" t="s">
        <v>698</v>
      </c>
      <c r="F20" t="s">
        <v>913</v>
      </c>
    </row>
    <row r="21" spans="1:11">
      <c r="A21" t="s">
        <v>939</v>
      </c>
      <c r="B21" t="s">
        <v>940</v>
      </c>
      <c r="C21" t="s">
        <v>941</v>
      </c>
      <c r="D21" t="s">
        <v>485</v>
      </c>
      <c r="E21" t="s">
        <v>912</v>
      </c>
      <c r="F21" t="s">
        <v>932</v>
      </c>
      <c r="G21" t="s">
        <v>933</v>
      </c>
    </row>
    <row r="22" spans="1:11">
      <c r="A22" t="s">
        <v>942</v>
      </c>
      <c r="B22" t="s">
        <v>946</v>
      </c>
      <c r="D22" t="s">
        <v>698</v>
      </c>
      <c r="E22" t="s">
        <v>912</v>
      </c>
      <c r="F22" t="s">
        <v>912</v>
      </c>
    </row>
    <row r="23" spans="1:11">
      <c r="A23" t="s">
        <v>943</v>
      </c>
      <c r="B23" t="s">
        <v>945</v>
      </c>
      <c r="D23" t="s">
        <v>698</v>
      </c>
      <c r="E23" t="s">
        <v>912</v>
      </c>
      <c r="F23" t="s">
        <v>912</v>
      </c>
    </row>
    <row r="24" spans="1:11">
      <c r="A24" t="s">
        <v>944</v>
      </c>
      <c r="B24" t="s">
        <v>947</v>
      </c>
      <c r="D24" t="s">
        <v>698</v>
      </c>
      <c r="E24" t="s">
        <v>912</v>
      </c>
      <c r="F24" t="s">
        <v>912</v>
      </c>
    </row>
    <row r="25" spans="1:11">
      <c r="A25" t="s">
        <v>948</v>
      </c>
      <c r="B25" t="s">
        <v>949</v>
      </c>
      <c r="C25" t="s">
        <v>950</v>
      </c>
      <c r="D25" t="s">
        <v>485</v>
      </c>
      <c r="F25" t="s">
        <v>932</v>
      </c>
    </row>
    <row r="27" spans="1:11">
      <c r="A27" t="s">
        <v>485</v>
      </c>
      <c r="H27" t="s">
        <v>951</v>
      </c>
    </row>
    <row r="29" spans="1:11">
      <c r="A29" t="s">
        <v>953</v>
      </c>
      <c r="B29" t="s">
        <v>952</v>
      </c>
      <c r="D29" t="s">
        <v>954</v>
      </c>
      <c r="E29" t="s">
        <v>912</v>
      </c>
      <c r="F29" t="s">
        <v>912</v>
      </c>
    </row>
    <row r="30" spans="1:11">
      <c r="A30" t="s">
        <v>955</v>
      </c>
      <c r="B30" t="s">
        <v>956</v>
      </c>
      <c r="D30" t="s">
        <v>954</v>
      </c>
      <c r="E30" t="s">
        <v>912</v>
      </c>
      <c r="F30" t="s">
        <v>912</v>
      </c>
    </row>
    <row r="31" spans="1:11">
      <c r="A31" t="s">
        <v>957</v>
      </c>
      <c r="B31" t="s">
        <v>960</v>
      </c>
      <c r="D31" t="s">
        <v>954</v>
      </c>
      <c r="E31" t="s">
        <v>912</v>
      </c>
      <c r="F31" t="s">
        <v>912</v>
      </c>
    </row>
    <row r="32" spans="1:11">
      <c r="A32" t="s">
        <v>958</v>
      </c>
      <c r="B32" t="s">
        <v>961</v>
      </c>
      <c r="D32" t="s">
        <v>954</v>
      </c>
      <c r="E32" t="s">
        <v>912</v>
      </c>
      <c r="F32" t="s">
        <v>912</v>
      </c>
    </row>
    <row r="33" spans="1:6">
      <c r="A33" t="s">
        <v>959</v>
      </c>
      <c r="B33" t="s">
        <v>962</v>
      </c>
      <c r="D33" t="s">
        <v>485</v>
      </c>
      <c r="E33" t="s">
        <v>913</v>
      </c>
      <c r="F33" t="s">
        <v>913</v>
      </c>
    </row>
    <row r="36" spans="1:6">
      <c r="A36" t="s">
        <v>963</v>
      </c>
    </row>
    <row r="38" spans="1:6">
      <c r="A38" t="s">
        <v>964</v>
      </c>
      <c r="B38" t="s">
        <v>964</v>
      </c>
      <c r="D38" t="s">
        <v>485</v>
      </c>
      <c r="E38" t="s">
        <v>913</v>
      </c>
      <c r="F38" t="s">
        <v>913</v>
      </c>
    </row>
    <row r="39" spans="1:6">
      <c r="A39" t="s">
        <v>965</v>
      </c>
      <c r="B39" t="s">
        <v>965</v>
      </c>
      <c r="D39" t="s">
        <v>485</v>
      </c>
      <c r="E39" t="s">
        <v>913</v>
      </c>
      <c r="F39" t="s">
        <v>913</v>
      </c>
    </row>
    <row r="40" spans="1:6">
      <c r="A40" t="s">
        <v>966</v>
      </c>
      <c r="B40" t="s">
        <v>966</v>
      </c>
      <c r="D40" t="s">
        <v>485</v>
      </c>
      <c r="E40" t="s">
        <v>912</v>
      </c>
      <c r="F40" t="s">
        <v>912</v>
      </c>
    </row>
    <row r="41" spans="1:6">
      <c r="A41" t="s">
        <v>967</v>
      </c>
      <c r="B41" t="s">
        <v>967</v>
      </c>
      <c r="D41" t="s">
        <v>485</v>
      </c>
      <c r="E41" t="s">
        <v>913</v>
      </c>
      <c r="F41" t="s">
        <v>913</v>
      </c>
    </row>
    <row r="42" spans="1:6">
      <c r="A42" t="s">
        <v>968</v>
      </c>
      <c r="B42" t="s">
        <v>968</v>
      </c>
      <c r="D42" t="s">
        <v>485</v>
      </c>
      <c r="E42" t="s">
        <v>912</v>
      </c>
      <c r="F42">
        <v>0</v>
      </c>
    </row>
    <row r="43" spans="1:6">
      <c r="A43" t="s">
        <v>969</v>
      </c>
      <c r="B43" t="s">
        <v>969</v>
      </c>
      <c r="E43" t="s">
        <v>913</v>
      </c>
      <c r="F43" t="s">
        <v>913</v>
      </c>
    </row>
    <row r="44" spans="1:6">
      <c r="A44" t="s">
        <v>968</v>
      </c>
      <c r="B44" t="s">
        <v>968</v>
      </c>
      <c r="D44" t="s">
        <v>485</v>
      </c>
      <c r="E44" t="s">
        <v>912</v>
      </c>
      <c r="F44" t="s">
        <v>912</v>
      </c>
    </row>
    <row r="46" spans="1:6">
      <c r="A46" t="s">
        <v>973</v>
      </c>
      <c r="B46" t="s">
        <v>973</v>
      </c>
      <c r="D46" t="s">
        <v>485</v>
      </c>
      <c r="E46" t="s">
        <v>912</v>
      </c>
      <c r="F46" t="s">
        <v>912</v>
      </c>
    </row>
    <row r="47" spans="1:6">
      <c r="A47" t="s">
        <v>974</v>
      </c>
      <c r="B47" t="s">
        <v>974</v>
      </c>
      <c r="D47" t="s">
        <v>485</v>
      </c>
      <c r="E47" t="s">
        <v>912</v>
      </c>
      <c r="F47" t="s">
        <v>912</v>
      </c>
    </row>
    <row r="48" spans="1:6">
      <c r="A48" t="s">
        <v>975</v>
      </c>
      <c r="B48" t="s">
        <v>975</v>
      </c>
      <c r="D48" t="s">
        <v>485</v>
      </c>
      <c r="E48" t="s">
        <v>912</v>
      </c>
      <c r="F48" t="s">
        <v>912</v>
      </c>
    </row>
    <row r="50" spans="1:7">
      <c r="A50" t="s">
        <v>334</v>
      </c>
    </row>
    <row r="52" spans="1:7">
      <c r="A52" t="s">
        <v>976</v>
      </c>
      <c r="B52" t="s">
        <v>976</v>
      </c>
      <c r="D52" t="s">
        <v>954</v>
      </c>
      <c r="E52" t="s">
        <v>913</v>
      </c>
      <c r="F52" t="s">
        <v>932</v>
      </c>
      <c r="G52" t="s">
        <v>933</v>
      </c>
    </row>
    <row r="54" spans="1:7">
      <c r="A54" t="s">
        <v>977</v>
      </c>
    </row>
    <row r="56" spans="1:7">
      <c r="A56" t="s">
        <v>976</v>
      </c>
    </row>
    <row r="58" spans="1:7">
      <c r="A58" t="s">
        <v>24</v>
      </c>
    </row>
    <row r="60" spans="1:7">
      <c r="A60" t="s">
        <v>978</v>
      </c>
      <c r="B60" t="s">
        <v>979</v>
      </c>
      <c r="C60" t="s">
        <v>980</v>
      </c>
      <c r="D60" t="s">
        <v>485</v>
      </c>
      <c r="E60" t="s">
        <v>932</v>
      </c>
      <c r="F60" t="s">
        <v>981</v>
      </c>
    </row>
    <row r="61" spans="1:7">
      <c r="A61" t="s">
        <v>970</v>
      </c>
      <c r="B61" t="s">
        <v>971</v>
      </c>
      <c r="C61" t="s">
        <v>972</v>
      </c>
      <c r="D61" t="s">
        <v>485</v>
      </c>
      <c r="E61" t="s">
        <v>840</v>
      </c>
      <c r="F61" t="s">
        <v>932</v>
      </c>
      <c r="G61" t="s">
        <v>933</v>
      </c>
    </row>
    <row r="63" spans="1:7">
      <c r="A63" t="s">
        <v>982</v>
      </c>
    </row>
    <row r="65" spans="1:6">
      <c r="A65" t="s">
        <v>983</v>
      </c>
      <c r="B65" t="s">
        <v>983</v>
      </c>
      <c r="D65" t="s">
        <v>485</v>
      </c>
      <c r="E65" t="s">
        <v>912</v>
      </c>
      <c r="F65">
        <v>0</v>
      </c>
    </row>
    <row r="66" spans="1:6">
      <c r="A66" t="s">
        <v>493</v>
      </c>
      <c r="B66" t="s">
        <v>985</v>
      </c>
      <c r="C66" t="s">
        <v>984</v>
      </c>
      <c r="D66" t="s">
        <v>485</v>
      </c>
      <c r="E66" t="s">
        <v>913</v>
      </c>
    </row>
    <row r="67" spans="1:6">
      <c r="A67" t="s">
        <v>487</v>
      </c>
      <c r="B67" t="s">
        <v>986</v>
      </c>
      <c r="D67" t="s">
        <v>485</v>
      </c>
      <c r="E67" t="s">
        <v>913</v>
      </c>
    </row>
    <row r="68" spans="1:6">
      <c r="A68" t="s">
        <v>510</v>
      </c>
      <c r="B68" t="s">
        <v>510</v>
      </c>
      <c r="D68" t="s">
        <v>485</v>
      </c>
      <c r="E68" t="s">
        <v>913</v>
      </c>
    </row>
    <row r="69" spans="1:6">
      <c r="A69" t="s">
        <v>517</v>
      </c>
      <c r="B69" t="s">
        <v>985</v>
      </c>
      <c r="C69" t="s">
        <v>987</v>
      </c>
      <c r="D69" t="s">
        <v>485</v>
      </c>
      <c r="E69" t="s">
        <v>913</v>
      </c>
    </row>
    <row r="73" spans="1:6">
      <c r="A73" t="s">
        <v>954</v>
      </c>
      <c r="B73">
        <v>11</v>
      </c>
      <c r="C73">
        <v>16</v>
      </c>
      <c r="D73">
        <f>C73+B73</f>
        <v>27</v>
      </c>
    </row>
    <row r="74" spans="1:6">
      <c r="B74">
        <v>5</v>
      </c>
      <c r="C74">
        <v>23</v>
      </c>
      <c r="D74">
        <f>C74+B74</f>
        <v>28</v>
      </c>
    </row>
  </sheetData>
  <phoneticPr fontId="3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56D8-C2B5-460A-8D75-549AB5F279DB}">
  <sheetPr>
    <tabColor theme="9"/>
  </sheetPr>
  <dimension ref="A1:F28"/>
  <sheetViews>
    <sheetView tabSelected="1" topLeftCell="A7" workbookViewId="0">
      <selection activeCell="F14" sqref="F14"/>
    </sheetView>
  </sheetViews>
  <sheetFormatPr defaultRowHeight="14.4"/>
  <cols>
    <col min="1" max="1" width="13.6640625" customWidth="1"/>
    <col min="2" max="2" width="30.109375" customWidth="1"/>
    <col min="3" max="3" width="29.5546875" customWidth="1"/>
    <col min="4" max="4" width="20.5546875" customWidth="1"/>
    <col min="5" max="5" width="21.109375" customWidth="1"/>
    <col min="6" max="6" width="18.33203125" customWidth="1"/>
  </cols>
  <sheetData>
    <row r="1" spans="1:6" ht="21">
      <c r="A1" s="111" t="s">
        <v>1093</v>
      </c>
      <c r="B1" s="111"/>
      <c r="C1" s="111"/>
      <c r="D1" s="111"/>
      <c r="E1" s="111"/>
      <c r="F1" s="111"/>
    </row>
    <row r="2" spans="1:6" ht="20.399999999999999">
      <c r="A2" s="112" t="s">
        <v>1095</v>
      </c>
      <c r="B2" s="112"/>
      <c r="C2" s="112"/>
      <c r="D2" s="112"/>
      <c r="E2" s="112"/>
      <c r="F2" s="112"/>
    </row>
    <row r="3" spans="1:6" ht="17.399999999999999">
      <c r="A3" s="105" t="s">
        <v>998</v>
      </c>
      <c r="B3" s="105" t="s">
        <v>1094</v>
      </c>
      <c r="C3" s="105" t="s">
        <v>1089</v>
      </c>
      <c r="D3" s="105" t="s">
        <v>1090</v>
      </c>
      <c r="E3" s="105" t="s">
        <v>1091</v>
      </c>
      <c r="F3" s="105" t="s">
        <v>1092</v>
      </c>
    </row>
    <row r="4" spans="1:6" ht="18">
      <c r="A4" s="106">
        <v>1</v>
      </c>
      <c r="B4" s="106" t="s">
        <v>954</v>
      </c>
      <c r="C4" s="106">
        <v>59</v>
      </c>
      <c r="D4" s="106">
        <v>27</v>
      </c>
      <c r="E4" s="106">
        <v>30</v>
      </c>
      <c r="F4" s="106">
        <v>57</v>
      </c>
    </row>
    <row r="5" spans="1:6" ht="18">
      <c r="A5" s="106">
        <v>2</v>
      </c>
      <c r="B5" s="106" t="s">
        <v>485</v>
      </c>
      <c r="C5" s="106">
        <v>35</v>
      </c>
      <c r="D5" s="106">
        <v>5</v>
      </c>
      <c r="E5" s="106">
        <v>40</v>
      </c>
      <c r="F5" s="106">
        <v>45</v>
      </c>
    </row>
    <row r="7" spans="1:6" ht="21">
      <c r="A7" s="113" t="s">
        <v>1096</v>
      </c>
      <c r="B7" s="113"/>
      <c r="C7" s="113"/>
      <c r="D7" s="113"/>
      <c r="E7" s="113"/>
      <c r="F7" s="107"/>
    </row>
    <row r="8" spans="1:6" ht="17.399999999999999">
      <c r="A8" s="105" t="s">
        <v>998</v>
      </c>
      <c r="B8" s="105" t="s">
        <v>1094</v>
      </c>
      <c r="C8" s="105" t="s">
        <v>1089</v>
      </c>
      <c r="D8" s="105" t="s">
        <v>1097</v>
      </c>
      <c r="E8" s="105" t="s">
        <v>1098</v>
      </c>
    </row>
    <row r="9" spans="1:6" ht="18">
      <c r="A9" s="106">
        <v>1</v>
      </c>
      <c r="B9" s="106" t="s">
        <v>954</v>
      </c>
      <c r="C9" s="106">
        <v>59</v>
      </c>
      <c r="D9" s="106">
        <v>27</v>
      </c>
      <c r="E9" s="106">
        <v>32</v>
      </c>
    </row>
    <row r="10" spans="1:6" ht="18">
      <c r="A10" s="106">
        <v>2</v>
      </c>
      <c r="B10" s="106" t="s">
        <v>1085</v>
      </c>
      <c r="C10" s="106">
        <v>35</v>
      </c>
      <c r="D10" s="106">
        <v>35</v>
      </c>
      <c r="E10" s="106">
        <v>35</v>
      </c>
    </row>
    <row r="11" spans="1:6" ht="18">
      <c r="D11" s="106" t="s">
        <v>1068</v>
      </c>
      <c r="E11" s="106">
        <v>67</v>
      </c>
    </row>
    <row r="14" spans="1:6" ht="21">
      <c r="A14" s="107"/>
      <c r="B14" s="108"/>
      <c r="C14" s="108" t="s">
        <v>1087</v>
      </c>
      <c r="D14" s="108"/>
      <c r="E14" s="108"/>
    </row>
    <row r="15" spans="1:6" ht="17.399999999999999">
      <c r="A15" s="105" t="s">
        <v>998</v>
      </c>
      <c r="B15" s="105" t="s">
        <v>1099</v>
      </c>
      <c r="C15" s="105" t="s">
        <v>1100</v>
      </c>
      <c r="D15" s="100" t="s">
        <v>1101</v>
      </c>
      <c r="E15" s="100" t="s">
        <v>1068</v>
      </c>
    </row>
    <row r="16" spans="1:6" ht="15.6">
      <c r="A16" s="11"/>
      <c r="B16" s="100" t="s">
        <v>1084</v>
      </c>
      <c r="C16" s="100">
        <v>5</v>
      </c>
      <c r="D16" s="100">
        <v>7</v>
      </c>
      <c r="E16" s="100">
        <v>12</v>
      </c>
    </row>
    <row r="17" spans="1:5" ht="15.6">
      <c r="A17" s="11"/>
      <c r="B17" s="100" t="s">
        <v>1074</v>
      </c>
      <c r="C17" s="100">
        <v>3</v>
      </c>
      <c r="D17" s="100">
        <v>0</v>
      </c>
      <c r="E17" s="100">
        <v>3</v>
      </c>
    </row>
    <row r="18" spans="1:5" ht="15.6">
      <c r="A18" s="11"/>
      <c r="B18" s="100" t="s">
        <v>991</v>
      </c>
      <c r="C18" s="100">
        <v>3</v>
      </c>
      <c r="D18" s="100">
        <v>6</v>
      </c>
      <c r="E18" s="100">
        <v>9</v>
      </c>
    </row>
    <row r="19" spans="1:5" ht="15.6">
      <c r="A19" s="11"/>
      <c r="B19" s="100" t="s">
        <v>485</v>
      </c>
      <c r="C19" s="100">
        <v>4</v>
      </c>
      <c r="D19" s="100">
        <v>1</v>
      </c>
      <c r="E19" s="100">
        <v>5</v>
      </c>
    </row>
    <row r="20" spans="1:5" ht="15.6">
      <c r="A20" s="11"/>
      <c r="B20" s="100" t="s">
        <v>334</v>
      </c>
      <c r="C20" s="100">
        <v>0</v>
      </c>
      <c r="D20" s="100">
        <v>0</v>
      </c>
      <c r="E20" s="100">
        <v>0</v>
      </c>
    </row>
    <row r="21" spans="1:5" ht="15.6">
      <c r="A21" s="11"/>
      <c r="B21" s="100" t="s">
        <v>1073</v>
      </c>
      <c r="C21" s="100">
        <v>1</v>
      </c>
      <c r="D21" s="100">
        <v>2</v>
      </c>
      <c r="E21" s="100">
        <v>3</v>
      </c>
    </row>
    <row r="22" spans="1:5" ht="15.6">
      <c r="A22" s="11"/>
      <c r="B22" s="100" t="s">
        <v>954</v>
      </c>
      <c r="C22" s="100">
        <v>0</v>
      </c>
      <c r="D22" s="100">
        <v>2</v>
      </c>
      <c r="E22" s="100">
        <v>2</v>
      </c>
    </row>
    <row r="23" spans="1:5" ht="15.6">
      <c r="A23" s="11"/>
      <c r="B23" s="100"/>
      <c r="C23" s="100"/>
      <c r="D23" s="100"/>
      <c r="E23" s="100"/>
    </row>
    <row r="24" spans="1:5" ht="15.6">
      <c r="A24" s="11"/>
      <c r="B24" s="100"/>
      <c r="C24" s="100"/>
      <c r="D24" s="100"/>
      <c r="E24" s="100"/>
    </row>
    <row r="25" spans="1:5" ht="15.6">
      <c r="A25" s="11"/>
      <c r="B25" s="100" t="s">
        <v>1102</v>
      </c>
      <c r="C25" s="100">
        <v>12</v>
      </c>
      <c r="D25" s="100">
        <v>7</v>
      </c>
      <c r="E25" s="100">
        <v>19</v>
      </c>
    </row>
    <row r="26" spans="1:5" ht="15.6">
      <c r="A26" s="11"/>
      <c r="B26" s="100" t="s">
        <v>1103</v>
      </c>
      <c r="C26" s="100">
        <v>4</v>
      </c>
      <c r="D26" s="100">
        <v>10</v>
      </c>
      <c r="E26" s="100">
        <v>14</v>
      </c>
    </row>
    <row r="27" spans="1:5" ht="15.6">
      <c r="A27" s="11"/>
      <c r="B27" s="100"/>
      <c r="C27" s="100"/>
      <c r="D27" s="100"/>
      <c r="E27" s="100"/>
    </row>
    <row r="28" spans="1:5" ht="15.6">
      <c r="A28" s="11"/>
      <c r="B28" s="100"/>
      <c r="C28" s="100">
        <f>SUM(C16:C26)</f>
        <v>32</v>
      </c>
      <c r="D28" s="100">
        <f>SUM(D16:D26)</f>
        <v>35</v>
      </c>
      <c r="E28" s="100">
        <f>SUM(E16:E26)</f>
        <v>67</v>
      </c>
    </row>
  </sheetData>
  <mergeCells count="3">
    <mergeCell ref="A1:F1"/>
    <mergeCell ref="A2:F2"/>
    <mergeCell ref="A7:E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T9"/>
  <sheetViews>
    <sheetView zoomScale="80" zoomScaleNormal="80" workbookViewId="0">
      <selection activeCell="A3" sqref="A3"/>
    </sheetView>
  </sheetViews>
  <sheetFormatPr defaultColWidth="9.109375" defaultRowHeight="14.4"/>
  <cols>
    <col min="1" max="1" width="4.5546875" style="73" bestFit="1" customWidth="1"/>
    <col min="2" max="2" width="15" style="73" bestFit="1" customWidth="1"/>
    <col min="3" max="3" width="22.6640625" style="74" bestFit="1" customWidth="1"/>
    <col min="4" max="4" width="11.5546875" style="73" bestFit="1" customWidth="1"/>
    <col min="5" max="5" width="17" style="73" bestFit="1" customWidth="1"/>
    <col min="6" max="6" width="10.88671875" style="73" bestFit="1" customWidth="1"/>
    <col min="7" max="7" width="28.6640625" style="73" bestFit="1" customWidth="1"/>
    <col min="8" max="8" width="21.33203125" style="73" bestFit="1" customWidth="1"/>
    <col min="9" max="9" width="16" style="73" bestFit="1" customWidth="1"/>
    <col min="10" max="10" width="9.5546875" style="73" bestFit="1" customWidth="1"/>
    <col min="11" max="11" width="17" style="73" bestFit="1" customWidth="1"/>
    <col min="12" max="12" width="24.44140625" style="73" bestFit="1" customWidth="1"/>
    <col min="13" max="13" width="14" style="73" bestFit="1" customWidth="1"/>
    <col min="14" max="14" width="26.6640625" style="73" bestFit="1" customWidth="1"/>
    <col min="15" max="15" width="15.88671875" style="73" bestFit="1" customWidth="1"/>
    <col min="16" max="16" width="28.5546875" style="73" bestFit="1" customWidth="1"/>
    <col min="17" max="17" width="14" style="73" bestFit="1" customWidth="1"/>
    <col min="18" max="18" width="25.33203125" style="73" bestFit="1" customWidth="1"/>
    <col min="19" max="19" width="15" style="73" bestFit="1" customWidth="1"/>
    <col min="20" max="20" width="28.5546875" style="73" bestFit="1" customWidth="1"/>
    <col min="21" max="16384" width="9.109375" style="73"/>
  </cols>
  <sheetData>
    <row r="1" spans="1:20">
      <c r="A1" s="114" t="s">
        <v>86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0" ht="15.6">
      <c r="A2" s="69" t="s">
        <v>2</v>
      </c>
      <c r="B2" s="70" t="s">
        <v>1</v>
      </c>
      <c r="C2" s="70" t="s">
        <v>3</v>
      </c>
      <c r="D2" s="69" t="s">
        <v>4</v>
      </c>
      <c r="E2" s="69" t="s">
        <v>5</v>
      </c>
      <c r="F2" s="69" t="s">
        <v>6</v>
      </c>
      <c r="G2" s="69" t="s">
        <v>7</v>
      </c>
      <c r="H2" s="69" t="s">
        <v>10</v>
      </c>
      <c r="I2" s="69" t="s">
        <v>13</v>
      </c>
      <c r="J2" s="69" t="s">
        <v>14</v>
      </c>
      <c r="K2" s="69" t="s">
        <v>15</v>
      </c>
      <c r="L2" s="69" t="s">
        <v>16</v>
      </c>
      <c r="M2" s="69" t="s">
        <v>11</v>
      </c>
      <c r="N2" s="69" t="s">
        <v>10</v>
      </c>
      <c r="O2" s="69" t="s">
        <v>89</v>
      </c>
      <c r="P2" s="72" t="s">
        <v>10</v>
      </c>
      <c r="Q2" s="72" t="s">
        <v>234</v>
      </c>
      <c r="R2" s="64" t="s">
        <v>10</v>
      </c>
      <c r="S2" s="69" t="s">
        <v>17</v>
      </c>
      <c r="T2" s="69" t="s">
        <v>19</v>
      </c>
    </row>
    <row r="3" spans="1:20">
      <c r="A3" s="71">
        <v>1</v>
      </c>
      <c r="B3" s="71" t="s">
        <v>243</v>
      </c>
      <c r="C3" s="5" t="s">
        <v>92</v>
      </c>
      <c r="D3" s="71" t="s">
        <v>244</v>
      </c>
      <c r="E3" s="71" t="s">
        <v>238</v>
      </c>
      <c r="F3" s="71" t="s">
        <v>55</v>
      </c>
      <c r="G3" s="71" t="s">
        <v>97</v>
      </c>
      <c r="H3" s="71" t="s">
        <v>91</v>
      </c>
      <c r="I3" s="71" t="s">
        <v>22</v>
      </c>
      <c r="J3" s="71" t="s">
        <v>23</v>
      </c>
      <c r="K3" s="71" t="s">
        <v>28</v>
      </c>
      <c r="L3" s="71" t="s">
        <v>235</v>
      </c>
      <c r="M3" s="71" t="s">
        <v>21</v>
      </c>
      <c r="N3" s="71" t="s">
        <v>240</v>
      </c>
      <c r="O3" s="71" t="s">
        <v>32</v>
      </c>
      <c r="P3" s="71" t="s">
        <v>236</v>
      </c>
      <c r="Q3" s="71" t="s">
        <v>21</v>
      </c>
      <c r="R3" s="71" t="s">
        <v>237</v>
      </c>
      <c r="S3" s="71" t="s">
        <v>35</v>
      </c>
      <c r="T3" s="71" t="s">
        <v>27</v>
      </c>
    </row>
    <row r="9" spans="1:20">
      <c r="E9" s="73" t="s">
        <v>87</v>
      </c>
    </row>
  </sheetData>
  <autoFilter ref="S1:S9" xr:uid="{00000000-0009-0000-0000-000002000000}"/>
  <mergeCells count="1">
    <mergeCell ref="A1:T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2:L4"/>
  <sheetViews>
    <sheetView workbookViewId="0">
      <selection activeCell="C11" sqref="C11"/>
    </sheetView>
  </sheetViews>
  <sheetFormatPr defaultColWidth="9.109375" defaultRowHeight="14.4"/>
  <cols>
    <col min="1" max="1" width="4.6640625" style="1" bestFit="1" customWidth="1"/>
    <col min="2" max="2" width="12.6640625" style="1" bestFit="1" customWidth="1"/>
    <col min="3" max="3" width="23.109375" style="1" bestFit="1" customWidth="1"/>
    <col min="4" max="4" width="15.5546875" style="1" bestFit="1" customWidth="1"/>
    <col min="5" max="5" width="16.44140625" style="1" bestFit="1" customWidth="1"/>
    <col min="6" max="6" width="16.88671875" style="1" bestFit="1" customWidth="1"/>
    <col min="7" max="7" width="16.109375" style="1" bestFit="1" customWidth="1"/>
    <col min="8" max="8" width="11.5546875" style="1" bestFit="1" customWidth="1"/>
    <col min="9" max="9" width="10" style="1" bestFit="1" customWidth="1"/>
    <col min="10" max="10" width="15.88671875" style="1" bestFit="1" customWidth="1"/>
    <col min="11" max="11" width="14" style="1" bestFit="1" customWidth="1"/>
    <col min="12" max="12" width="76.6640625" style="1" bestFit="1" customWidth="1"/>
    <col min="13" max="16384" width="9.109375" style="1"/>
  </cols>
  <sheetData>
    <row r="2" spans="1:12" ht="18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ht="15.6">
      <c r="A3" s="6" t="s">
        <v>2</v>
      </c>
      <c r="B3" s="6" t="s">
        <v>1</v>
      </c>
      <c r="C3" s="6" t="s">
        <v>3</v>
      </c>
      <c r="D3" s="6" t="s">
        <v>5</v>
      </c>
      <c r="E3" s="6" t="s">
        <v>6</v>
      </c>
      <c r="F3" s="6" t="s">
        <v>7</v>
      </c>
      <c r="G3" s="6" t="s">
        <v>10</v>
      </c>
      <c r="H3" s="6" t="s">
        <v>13</v>
      </c>
      <c r="I3" s="6" t="s">
        <v>14</v>
      </c>
      <c r="J3" s="6" t="s">
        <v>15</v>
      </c>
      <c r="K3" s="6" t="s">
        <v>17</v>
      </c>
      <c r="L3" s="6" t="s">
        <v>19</v>
      </c>
    </row>
    <row r="4" spans="1:12">
      <c r="A4" s="7">
        <v>1</v>
      </c>
      <c r="B4" s="7" t="s">
        <v>245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23</v>
      </c>
      <c r="J4" s="7" t="s">
        <v>31</v>
      </c>
      <c r="K4" s="7" t="s">
        <v>24</v>
      </c>
      <c r="L4" s="7" t="s">
        <v>52</v>
      </c>
    </row>
  </sheetData>
  <mergeCells count="1"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T6"/>
  <sheetViews>
    <sheetView workbookViewId="0">
      <selection activeCell="F10" sqref="F10"/>
    </sheetView>
  </sheetViews>
  <sheetFormatPr defaultColWidth="9.109375" defaultRowHeight="14.4"/>
  <cols>
    <col min="1" max="1" width="4.109375" style="75" bestFit="1" customWidth="1"/>
    <col min="2" max="2" width="14.109375" style="75" bestFit="1" customWidth="1"/>
    <col min="3" max="3" width="24" style="75" bestFit="1" customWidth="1"/>
    <col min="4" max="4" width="16.109375" style="75" bestFit="1" customWidth="1"/>
    <col min="5" max="5" width="10.6640625" style="75" bestFit="1" customWidth="1"/>
    <col min="6" max="6" width="18.44140625" style="75" bestFit="1" customWidth="1"/>
    <col min="7" max="7" width="20.44140625" style="75" bestFit="1" customWidth="1"/>
    <col min="8" max="8" width="13.88671875" style="75" bestFit="1" customWidth="1"/>
    <col min="9" max="9" width="9.6640625" style="75" bestFit="1" customWidth="1"/>
    <col min="10" max="10" width="15.33203125" style="75" bestFit="1" customWidth="1"/>
    <col min="11" max="11" width="14.109375" style="75" bestFit="1" customWidth="1"/>
    <col min="12" max="12" width="26.44140625" style="75" bestFit="1" customWidth="1"/>
    <col min="13" max="13" width="16" style="75" bestFit="1" customWidth="1"/>
    <col min="14" max="14" width="31" style="75" bestFit="1" customWidth="1"/>
    <col min="15" max="15" width="13.109375" style="75" bestFit="1" customWidth="1"/>
    <col min="16" max="16" width="24.5546875" style="75" bestFit="1" customWidth="1"/>
    <col min="17" max="17" width="26.6640625" style="75" bestFit="1" customWidth="1"/>
    <col min="18" max="18" width="19" style="75" bestFit="1" customWidth="1"/>
    <col min="19" max="19" width="16.109375" style="75" bestFit="1" customWidth="1"/>
    <col min="20" max="20" width="61.33203125" style="75" bestFit="1" customWidth="1"/>
    <col min="21" max="16384" width="9.109375" style="75"/>
  </cols>
  <sheetData>
    <row r="1" spans="1:20">
      <c r="A1" s="116" t="s">
        <v>247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</row>
    <row r="2" spans="1:20">
      <c r="A2" s="28" t="s">
        <v>2</v>
      </c>
      <c r="B2" s="28" t="s">
        <v>1</v>
      </c>
      <c r="C2" s="28" t="s">
        <v>3</v>
      </c>
      <c r="D2" s="28" t="s">
        <v>5</v>
      </c>
      <c r="E2" s="28" t="s">
        <v>6</v>
      </c>
      <c r="F2" s="28" t="s">
        <v>7</v>
      </c>
      <c r="G2" s="28" t="s">
        <v>10</v>
      </c>
      <c r="H2" s="28" t="s">
        <v>13</v>
      </c>
      <c r="I2" s="28" t="s">
        <v>14</v>
      </c>
      <c r="J2" s="28" t="s">
        <v>15</v>
      </c>
      <c r="K2" s="28" t="s">
        <v>88</v>
      </c>
      <c r="L2" s="28" t="s">
        <v>10</v>
      </c>
      <c r="M2" s="28" t="s">
        <v>89</v>
      </c>
      <c r="N2" s="28" t="s">
        <v>10</v>
      </c>
      <c r="O2" s="28" t="s">
        <v>93</v>
      </c>
      <c r="P2" s="28" t="s">
        <v>10</v>
      </c>
      <c r="Q2" s="28" t="s">
        <v>102</v>
      </c>
      <c r="R2" s="28" t="s">
        <v>10</v>
      </c>
      <c r="S2" s="28" t="s">
        <v>17</v>
      </c>
      <c r="T2" s="28" t="s">
        <v>19</v>
      </c>
    </row>
    <row r="3" spans="1:20">
      <c r="A3" s="27">
        <v>1</v>
      </c>
      <c r="B3" s="27" t="s">
        <v>246</v>
      </c>
      <c r="C3" s="27" t="s">
        <v>138</v>
      </c>
      <c r="D3" s="27" t="s">
        <v>60</v>
      </c>
      <c r="E3" s="27" t="s">
        <v>20</v>
      </c>
      <c r="F3" s="27" t="s">
        <v>21</v>
      </c>
      <c r="G3" s="27" t="s">
        <v>61</v>
      </c>
      <c r="H3" s="27" t="s">
        <v>22</v>
      </c>
      <c r="I3" s="27" t="s">
        <v>23</v>
      </c>
      <c r="J3" s="27" t="s">
        <v>28</v>
      </c>
      <c r="K3" s="27" t="s">
        <v>21</v>
      </c>
      <c r="L3" s="27" t="s">
        <v>134</v>
      </c>
      <c r="M3" s="27" t="s">
        <v>90</v>
      </c>
      <c r="N3" s="27" t="s">
        <v>135</v>
      </c>
      <c r="O3" s="27" t="s">
        <v>21</v>
      </c>
      <c r="P3" s="27" t="s">
        <v>136</v>
      </c>
      <c r="Q3" s="27" t="s">
        <v>131</v>
      </c>
      <c r="R3" s="27" t="s">
        <v>130</v>
      </c>
      <c r="S3" s="27" t="s">
        <v>62</v>
      </c>
      <c r="T3" s="27" t="s">
        <v>27</v>
      </c>
    </row>
    <row r="6" spans="1:20">
      <c r="G6" s="27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W3"/>
  <sheetViews>
    <sheetView zoomScale="70" zoomScaleNormal="70" workbookViewId="0">
      <selection sqref="A1:W1"/>
    </sheetView>
  </sheetViews>
  <sheetFormatPr defaultColWidth="9.109375" defaultRowHeight="15.6"/>
  <cols>
    <col min="1" max="1" width="5.109375" style="76" bestFit="1" customWidth="1"/>
    <col min="2" max="2" width="18.109375" style="76" bestFit="1" customWidth="1"/>
    <col min="3" max="3" width="24.33203125" style="76" bestFit="1" customWidth="1"/>
    <col min="4" max="4" width="18.5546875" style="76" bestFit="1" customWidth="1"/>
    <col min="5" max="5" width="15.88671875" style="76" bestFit="1" customWidth="1"/>
    <col min="6" max="6" width="14.33203125" style="76" customWidth="1"/>
    <col min="7" max="7" width="18.88671875" style="76" customWidth="1"/>
    <col min="8" max="8" width="26.88671875" style="76" customWidth="1"/>
    <col min="9" max="9" width="13.44140625" style="76" customWidth="1"/>
    <col min="10" max="10" width="11.88671875" style="76" customWidth="1"/>
    <col min="11" max="11" width="12.109375" style="76" customWidth="1"/>
    <col min="12" max="12" width="19.5546875" style="76" customWidth="1"/>
    <col min="13" max="13" width="24.33203125" style="76" customWidth="1"/>
    <col min="14" max="14" width="19.6640625" style="76" customWidth="1"/>
    <col min="15" max="15" width="17.44140625" style="80" customWidth="1"/>
    <col min="16" max="16" width="16.88671875" style="76" customWidth="1"/>
    <col min="17" max="17" width="17.33203125" style="76" customWidth="1"/>
    <col min="18" max="18" width="13.109375" style="76" customWidth="1"/>
    <col min="19" max="19" width="16.44140625" style="76" customWidth="1"/>
    <col min="20" max="20" width="18.5546875" style="76" bestFit="1" customWidth="1"/>
    <col min="21" max="21" width="16.33203125" style="76" bestFit="1" customWidth="1"/>
    <col min="22" max="22" width="20.33203125" style="76" bestFit="1" customWidth="1"/>
    <col min="23" max="23" width="31" style="76" bestFit="1" customWidth="1"/>
    <col min="24" max="16384" width="9.109375" style="76"/>
  </cols>
  <sheetData>
    <row r="1" spans="1:23">
      <c r="A1" s="117" t="s">
        <v>251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</row>
    <row r="2" spans="1:23">
      <c r="A2" s="18" t="s">
        <v>2</v>
      </c>
      <c r="B2" s="77" t="s">
        <v>1</v>
      </c>
      <c r="C2" s="18" t="s">
        <v>3</v>
      </c>
      <c r="D2" s="18" t="s">
        <v>58</v>
      </c>
      <c r="E2" s="18" t="s">
        <v>5</v>
      </c>
      <c r="F2" s="18" t="s">
        <v>6</v>
      </c>
      <c r="G2" s="18" t="s">
        <v>7</v>
      </c>
      <c r="H2" s="18" t="s">
        <v>10</v>
      </c>
      <c r="I2" s="18" t="s">
        <v>13</v>
      </c>
      <c r="J2" s="18" t="s">
        <v>14</v>
      </c>
      <c r="K2" s="18" t="s">
        <v>53</v>
      </c>
      <c r="L2" s="18" t="s">
        <v>96</v>
      </c>
      <c r="M2" s="18" t="s">
        <v>10</v>
      </c>
      <c r="N2" s="18" t="s">
        <v>94</v>
      </c>
      <c r="O2" s="21" t="s">
        <v>10</v>
      </c>
      <c r="P2" s="18" t="s">
        <v>93</v>
      </c>
      <c r="Q2" s="18" t="s">
        <v>10</v>
      </c>
      <c r="R2" s="18" t="s">
        <v>95</v>
      </c>
      <c r="S2" s="18" t="s">
        <v>10</v>
      </c>
      <c r="T2" s="18" t="s">
        <v>102</v>
      </c>
      <c r="U2" s="18" t="s">
        <v>10</v>
      </c>
      <c r="V2" s="18" t="s">
        <v>17</v>
      </c>
      <c r="W2" s="18" t="s">
        <v>19</v>
      </c>
    </row>
    <row r="3" spans="1:23">
      <c r="A3" s="78">
        <v>1</v>
      </c>
      <c r="B3" s="78" t="s">
        <v>249</v>
      </c>
      <c r="C3" s="78" t="s">
        <v>36</v>
      </c>
      <c r="D3" s="78" t="s">
        <v>39</v>
      </c>
      <c r="E3" s="78" t="s">
        <v>33</v>
      </c>
      <c r="F3" s="78" t="s">
        <v>20</v>
      </c>
      <c r="G3" s="78" t="s">
        <v>54</v>
      </c>
      <c r="H3" s="78" t="s">
        <v>56</v>
      </c>
      <c r="I3" s="78" t="s">
        <v>22</v>
      </c>
      <c r="J3" s="78" t="s">
        <v>23</v>
      </c>
      <c r="K3" s="78" t="s">
        <v>28</v>
      </c>
      <c r="L3" s="78" t="s">
        <v>40</v>
      </c>
      <c r="M3" s="78" t="s">
        <v>37</v>
      </c>
      <c r="N3" s="78" t="s">
        <v>21</v>
      </c>
      <c r="O3" s="79" t="s">
        <v>100</v>
      </c>
      <c r="P3" s="78" t="s">
        <v>21</v>
      </c>
      <c r="Q3" s="78" t="s">
        <v>101</v>
      </c>
      <c r="R3" s="78" t="s">
        <v>98</v>
      </c>
      <c r="S3" s="78" t="s">
        <v>99</v>
      </c>
      <c r="T3" s="78" t="s">
        <v>104</v>
      </c>
      <c r="U3" s="78" t="s">
        <v>103</v>
      </c>
      <c r="V3" s="78" t="s">
        <v>57</v>
      </c>
      <c r="W3" s="78" t="s">
        <v>122</v>
      </c>
    </row>
  </sheetData>
  <mergeCells count="1">
    <mergeCell ref="A1:W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J3"/>
  <sheetViews>
    <sheetView workbookViewId="0">
      <selection activeCell="E8" sqref="E8"/>
    </sheetView>
  </sheetViews>
  <sheetFormatPr defaultRowHeight="14.4"/>
  <cols>
    <col min="1" max="1" width="4.33203125" bestFit="1" customWidth="1"/>
    <col min="2" max="2" width="25" bestFit="1" customWidth="1"/>
    <col min="3" max="3" width="23.6640625" bestFit="1" customWidth="1"/>
    <col min="4" max="4" width="23" bestFit="1" customWidth="1"/>
    <col min="5" max="5" width="24" bestFit="1" customWidth="1"/>
    <col min="6" max="6" width="25" bestFit="1" customWidth="1"/>
    <col min="7" max="7" width="13.6640625" bestFit="1" customWidth="1"/>
    <col min="8" max="8" width="22.6640625" bestFit="1" customWidth="1"/>
    <col min="9" max="9" width="11.33203125" bestFit="1" customWidth="1"/>
    <col min="10" max="10" width="16.6640625" bestFit="1" customWidth="1"/>
  </cols>
  <sheetData>
    <row r="1" spans="1:10" ht="18">
      <c r="A1" s="118" t="s">
        <v>250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15.6">
      <c r="A2" s="8" t="s">
        <v>67</v>
      </c>
      <c r="B2" s="9" t="s">
        <v>68</v>
      </c>
      <c r="C2" s="10" t="s">
        <v>69</v>
      </c>
      <c r="D2" s="10" t="s">
        <v>70</v>
      </c>
      <c r="E2" s="10" t="s">
        <v>71</v>
      </c>
      <c r="F2" s="10" t="s">
        <v>72</v>
      </c>
      <c r="G2" s="10" t="s">
        <v>73</v>
      </c>
      <c r="H2" s="10" t="s">
        <v>74</v>
      </c>
      <c r="I2" s="10" t="s">
        <v>75</v>
      </c>
      <c r="J2" s="8" t="s">
        <v>19</v>
      </c>
    </row>
    <row r="3" spans="1:10">
      <c r="A3" s="11">
        <v>1</v>
      </c>
      <c r="B3" s="12" t="s">
        <v>76</v>
      </c>
      <c r="C3" s="13" t="s">
        <v>77</v>
      </c>
      <c r="D3" s="14" t="s">
        <v>78</v>
      </c>
      <c r="E3" s="13" t="s">
        <v>79</v>
      </c>
      <c r="F3" s="14" t="s">
        <v>80</v>
      </c>
      <c r="G3" s="13" t="s">
        <v>81</v>
      </c>
      <c r="H3" s="14" t="s">
        <v>82</v>
      </c>
      <c r="I3" s="13" t="s">
        <v>83</v>
      </c>
      <c r="J3" s="13" t="s">
        <v>27</v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I3"/>
  <sheetViews>
    <sheetView workbookViewId="0">
      <selection activeCell="C10" sqref="C10"/>
    </sheetView>
  </sheetViews>
  <sheetFormatPr defaultColWidth="9.109375" defaultRowHeight="14.4"/>
  <cols>
    <col min="1" max="1" width="4.6640625" style="30" bestFit="1" customWidth="1"/>
    <col min="2" max="2" width="13.109375" style="30" bestFit="1" customWidth="1"/>
    <col min="3" max="3" width="24.44140625" style="30" bestFit="1" customWidth="1"/>
    <col min="4" max="4" width="16.109375" style="30" bestFit="1" customWidth="1"/>
    <col min="5" max="5" width="11.44140625" style="30" bestFit="1" customWidth="1"/>
    <col min="6" max="6" width="21.6640625" style="30" bestFit="1" customWidth="1"/>
    <col min="7" max="7" width="13.109375" style="30" bestFit="1" customWidth="1"/>
    <col min="8" max="8" width="12.6640625" style="30" bestFit="1" customWidth="1"/>
    <col min="9" max="9" width="9.33203125" style="30" bestFit="1" customWidth="1"/>
    <col min="10" max="16384" width="9.109375" style="30"/>
  </cols>
  <sheetData>
    <row r="1" spans="1:9">
      <c r="A1" s="120" t="s">
        <v>252</v>
      </c>
      <c r="B1" s="121"/>
      <c r="C1" s="121"/>
      <c r="D1" s="121"/>
      <c r="E1" s="121"/>
      <c r="F1" s="121"/>
      <c r="G1" s="121"/>
      <c r="H1" s="121"/>
      <c r="I1" s="121"/>
    </row>
    <row r="2" spans="1:9" ht="15.6">
      <c r="A2" s="2" t="s">
        <v>2</v>
      </c>
      <c r="B2" s="70" t="s">
        <v>1</v>
      </c>
      <c r="C2" s="2" t="s">
        <v>3</v>
      </c>
      <c r="D2" s="2" t="s">
        <v>5</v>
      </c>
      <c r="E2" s="2" t="s">
        <v>6</v>
      </c>
      <c r="F2" s="2" t="s">
        <v>7</v>
      </c>
      <c r="G2" s="2" t="s">
        <v>10</v>
      </c>
      <c r="H2" s="2" t="s">
        <v>17</v>
      </c>
      <c r="I2" s="2" t="s">
        <v>19</v>
      </c>
    </row>
    <row r="3" spans="1:9">
      <c r="A3" s="26">
        <v>1</v>
      </c>
      <c r="B3" s="27" t="s">
        <v>253</v>
      </c>
      <c r="C3" s="25" t="s">
        <v>133</v>
      </c>
      <c r="D3" s="25" t="s">
        <v>60</v>
      </c>
      <c r="E3" s="25" t="s">
        <v>65</v>
      </c>
      <c r="F3" s="25" t="s">
        <v>66</v>
      </c>
      <c r="G3" s="25" t="s">
        <v>132</v>
      </c>
      <c r="H3" s="26" t="s">
        <v>242</v>
      </c>
      <c r="I3" s="26" t="s">
        <v>27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A2:V16"/>
  <sheetViews>
    <sheetView workbookViewId="0">
      <selection activeCell="B4" sqref="B4"/>
    </sheetView>
  </sheetViews>
  <sheetFormatPr defaultRowHeight="14.4"/>
  <cols>
    <col min="1" max="1" width="4.6640625" bestFit="1" customWidth="1"/>
    <col min="2" max="2" width="19.6640625" bestFit="1" customWidth="1"/>
    <col min="3" max="4" width="12.88671875" bestFit="1" customWidth="1"/>
    <col min="5" max="5" width="10.44140625" bestFit="1" customWidth="1"/>
    <col min="6" max="6" width="19.5546875" bestFit="1" customWidth="1"/>
    <col min="7" max="7" width="13.33203125" bestFit="1" customWidth="1"/>
    <col min="8" max="8" width="10" bestFit="1" customWidth="1"/>
    <col min="9" max="9" width="15.88671875" bestFit="1" customWidth="1"/>
    <col min="10" max="10" width="19" bestFit="1" customWidth="1"/>
    <col min="11" max="11" width="26.6640625" bestFit="1" customWidth="1"/>
    <col min="12" max="12" width="15.88671875" customWidth="1"/>
    <col min="13" max="13" width="31.109375" bestFit="1" customWidth="1"/>
    <col min="14" max="14" width="16.88671875" bestFit="1" customWidth="1"/>
    <col min="15" max="15" width="25" bestFit="1" customWidth="1"/>
    <col min="16" max="16" width="11.44140625" bestFit="1" customWidth="1"/>
    <col min="17" max="17" width="26" bestFit="1" customWidth="1"/>
    <col min="19" max="19" width="19" bestFit="1" customWidth="1"/>
  </cols>
  <sheetData>
    <row r="2" spans="1:22" ht="18">
      <c r="A2" s="122" t="s">
        <v>254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22" ht="15.6">
      <c r="A3" s="2" t="s">
        <v>2</v>
      </c>
      <c r="B3" s="2" t="s">
        <v>3</v>
      </c>
      <c r="C3" s="2" t="s">
        <v>5</v>
      </c>
      <c r="D3" s="2" t="s">
        <v>6</v>
      </c>
      <c r="E3" s="2" t="s">
        <v>7</v>
      </c>
      <c r="F3" s="2" t="s">
        <v>10</v>
      </c>
      <c r="G3" s="2" t="s">
        <v>13</v>
      </c>
      <c r="H3" s="2" t="s">
        <v>14</v>
      </c>
      <c r="I3" s="2" t="s">
        <v>15</v>
      </c>
      <c r="J3" s="18" t="s">
        <v>94</v>
      </c>
      <c r="K3" s="21" t="s">
        <v>10</v>
      </c>
      <c r="L3" s="18" t="s">
        <v>93</v>
      </c>
      <c r="M3" s="18" t="s">
        <v>10</v>
      </c>
      <c r="N3" s="18" t="s">
        <v>88</v>
      </c>
      <c r="O3" s="18" t="s">
        <v>10</v>
      </c>
      <c r="P3" s="2" t="s">
        <v>17</v>
      </c>
      <c r="Q3" s="2" t="s">
        <v>19</v>
      </c>
    </row>
    <row r="4" spans="1:22">
      <c r="A4" s="15">
        <v>1</v>
      </c>
      <c r="B4" s="3" t="s">
        <v>84</v>
      </c>
      <c r="C4" s="3" t="s">
        <v>85</v>
      </c>
      <c r="D4" s="3" t="s">
        <v>20</v>
      </c>
      <c r="E4" s="3" t="s">
        <v>21</v>
      </c>
      <c r="F4" s="3" t="s">
        <v>63</v>
      </c>
      <c r="G4" s="3" t="s">
        <v>22</v>
      </c>
      <c r="H4" s="3" t="s">
        <v>23</v>
      </c>
      <c r="I4" s="3" t="s">
        <v>64</v>
      </c>
      <c r="J4" s="3" t="s">
        <v>32</v>
      </c>
      <c r="K4" s="3" t="s">
        <v>127</v>
      </c>
      <c r="L4" s="3" t="s">
        <v>32</v>
      </c>
      <c r="M4" s="3" t="s">
        <v>128</v>
      </c>
      <c r="N4" s="3" t="s">
        <v>21</v>
      </c>
      <c r="O4" s="15" t="s">
        <v>129</v>
      </c>
      <c r="P4" s="3" t="s">
        <v>35</v>
      </c>
      <c r="Q4" s="24" t="s">
        <v>27</v>
      </c>
    </row>
    <row r="16" spans="1:22" ht="15.6">
      <c r="S16" s="18" t="s">
        <v>94</v>
      </c>
      <c r="T16" s="21" t="s">
        <v>10</v>
      </c>
      <c r="U16" s="18" t="s">
        <v>93</v>
      </c>
      <c r="V16" s="18" t="s">
        <v>10</v>
      </c>
    </row>
  </sheetData>
  <mergeCells count="1">
    <mergeCell ref="A2:Q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M3"/>
  <sheetViews>
    <sheetView zoomScale="90" zoomScaleNormal="90" workbookViewId="0">
      <selection activeCell="F10" sqref="F10"/>
    </sheetView>
  </sheetViews>
  <sheetFormatPr defaultColWidth="9.109375" defaultRowHeight="14.4"/>
  <cols>
    <col min="1" max="1" width="4.6640625" style="1" bestFit="1" customWidth="1"/>
    <col min="2" max="2" width="14.44140625" style="1" bestFit="1" customWidth="1"/>
    <col min="3" max="4" width="18.6640625" style="1" bestFit="1" customWidth="1"/>
    <col min="5" max="5" width="15.109375" style="1" bestFit="1" customWidth="1"/>
    <col min="6" max="6" width="12.88671875" style="1" bestFit="1" customWidth="1"/>
    <col min="7" max="7" width="11.44140625" style="1" bestFit="1" customWidth="1"/>
    <col min="8" max="8" width="11.44140625" style="1" customWidth="1"/>
    <col min="9" max="9" width="11.5546875" style="1" bestFit="1" customWidth="1"/>
    <col min="10" max="10" width="20.5546875" style="1" bestFit="1" customWidth="1"/>
    <col min="11" max="11" width="11.44140625" style="1" bestFit="1" customWidth="1"/>
    <col min="12" max="12" width="20.6640625" style="1" customWidth="1"/>
    <col min="13" max="13" width="10.6640625" style="1" bestFit="1" customWidth="1"/>
    <col min="14" max="16384" width="9.109375" style="1"/>
  </cols>
  <sheetData>
    <row r="1" spans="1:13" ht="15.6">
      <c r="A1" s="123" t="s">
        <v>256</v>
      </c>
      <c r="B1" s="123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</row>
    <row r="2" spans="1:13" ht="15.6">
      <c r="A2" s="2" t="s">
        <v>2</v>
      </c>
      <c r="B2" s="2" t="s">
        <v>1</v>
      </c>
      <c r="C2" s="2" t="s">
        <v>3</v>
      </c>
      <c r="D2" s="2" t="s">
        <v>44</v>
      </c>
      <c r="E2" s="2" t="s">
        <v>38</v>
      </c>
      <c r="F2" s="2" t="s">
        <v>5</v>
      </c>
      <c r="G2" s="2" t="s">
        <v>6</v>
      </c>
      <c r="H2" s="2" t="s">
        <v>8</v>
      </c>
      <c r="I2" s="2" t="s">
        <v>7</v>
      </c>
      <c r="J2" s="2" t="s">
        <v>10</v>
      </c>
      <c r="K2" s="2" t="s">
        <v>17</v>
      </c>
      <c r="L2" s="2" t="s">
        <v>18</v>
      </c>
      <c r="M2" s="2" t="s">
        <v>19</v>
      </c>
    </row>
    <row r="3" spans="1:13">
      <c r="A3" s="3">
        <v>1</v>
      </c>
      <c r="B3" s="3" t="s">
        <v>255</v>
      </c>
      <c r="C3" s="3" t="s">
        <v>42</v>
      </c>
      <c r="D3" s="3" t="s">
        <v>43</v>
      </c>
      <c r="E3" s="3" t="s">
        <v>39</v>
      </c>
      <c r="F3" s="3" t="s">
        <v>33</v>
      </c>
      <c r="G3" s="3" t="s">
        <v>34</v>
      </c>
      <c r="H3" s="3" t="s">
        <v>239</v>
      </c>
      <c r="I3" s="3" t="s">
        <v>40</v>
      </c>
      <c r="J3" s="3" t="s">
        <v>37</v>
      </c>
      <c r="K3" s="3" t="s">
        <v>35</v>
      </c>
      <c r="L3" s="4" t="s">
        <v>41</v>
      </c>
      <c r="M3" s="29" t="s">
        <v>45</v>
      </c>
    </row>
  </sheetData>
  <autoFilter ref="D2:D3" xr:uid="{00000000-0009-0000-0000-000009000000}"/>
  <mergeCells count="1">
    <mergeCell ref="A1:M1"/>
  </mergeCells>
  <conditionalFormatting sqref="L2">
    <cfRule type="containsText" dxfId="9" priority="7" operator="containsText" text="OK">
      <formula>NOT(ISERROR(SEARCH("OK",L2)))</formula>
    </cfRule>
    <cfRule type="containsText" dxfId="8" priority="8" operator="containsText" text="DULL">
      <formula>NOT(ISERROR(SEARCH("DULL",L2)))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7" priority="10" operator="containsText" text="OK">
      <formula>NOT(ISERROR(SEARCH("OK",L2)))</formula>
    </cfRule>
  </conditionalFormatting>
  <conditionalFormatting sqref="L3">
    <cfRule type="containsText" dxfId="6" priority="2" operator="containsText" text="OK">
      <formula>NOT(ISERROR(SEARCH("OK",L3)))</formula>
    </cfRule>
    <cfRule type="containsText" dxfId="5" priority="3" operator="containsText" text="DULL">
      <formula>NOT(ISERROR(SEARCH("DULL",L3)))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4" priority="5" operator="containsText" text="OK">
      <formula>NOT(ISERROR(SEARCH("OK",L3)))</formula>
    </cfRule>
  </conditionalFormatting>
  <conditionalFormatting sqref="L3">
    <cfRule type="containsText" dxfId="3" priority="1" operator="containsText" text="OK For Short Distance ">
      <formula>NOT(ISERROR(SEARCH("OK For Short Distance ",L3)))</formula>
    </cfRule>
  </conditionalFormatting>
  <conditionalFormatting sqref="L4:L1048576 M2">
    <cfRule type="containsText" dxfId="2" priority="21" operator="containsText" text="OK">
      <formula>NOT(ISERROR(SEARCH("OK",L2)))</formula>
    </cfRule>
    <cfRule type="containsText" dxfId="1" priority="22" operator="containsText" text="DULL">
      <formula>NOT(ISERROR(SEARCH("DULL",L2)))</formula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0" priority="24" operator="containsText" text="OK">
      <formula>NOT(ISERROR(SEARCH("OK",L2)))</formula>
    </cfRule>
  </conditionalFormatting>
  <pageMargins left="0.7" right="0.7" top="0.75" bottom="0.75" header="0.3" footer="0.3"/>
  <pageSetup scale="27" fitToWidth="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U3"/>
  <sheetViews>
    <sheetView workbookViewId="0">
      <selection sqref="A1:U1"/>
    </sheetView>
  </sheetViews>
  <sheetFormatPr defaultRowHeight="14.4"/>
  <cols>
    <col min="2" max="2" width="23.88671875" bestFit="1" customWidth="1"/>
    <col min="3" max="3" width="18.5546875" bestFit="1" customWidth="1"/>
    <col min="4" max="4" width="15.6640625" bestFit="1" customWidth="1"/>
    <col min="5" max="18" width="0" hidden="1" customWidth="1"/>
    <col min="19" max="19" width="17.6640625" bestFit="1" customWidth="1"/>
    <col min="20" max="20" width="16" bestFit="1" customWidth="1"/>
    <col min="21" max="21" width="20.109375" bestFit="1" customWidth="1"/>
  </cols>
  <sheetData>
    <row r="1" spans="1:21" ht="15.6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ht="15.6">
      <c r="A2" s="18" t="s">
        <v>2</v>
      </c>
      <c r="B2" s="18" t="s">
        <v>3</v>
      </c>
      <c r="C2" s="18" t="s">
        <v>58</v>
      </c>
      <c r="D2" s="18" t="s">
        <v>5</v>
      </c>
      <c r="E2" s="18" t="s">
        <v>6</v>
      </c>
      <c r="F2" s="18" t="s">
        <v>7</v>
      </c>
      <c r="G2" s="18" t="s">
        <v>10</v>
      </c>
      <c r="H2" s="18" t="s">
        <v>13</v>
      </c>
      <c r="I2" s="18" t="s">
        <v>14</v>
      </c>
      <c r="J2" s="18" t="s">
        <v>53</v>
      </c>
      <c r="K2" s="18" t="s">
        <v>96</v>
      </c>
      <c r="L2" s="18" t="s">
        <v>10</v>
      </c>
      <c r="M2" s="18" t="s">
        <v>94</v>
      </c>
      <c r="N2" s="21" t="s">
        <v>10</v>
      </c>
      <c r="O2" s="18" t="s">
        <v>93</v>
      </c>
      <c r="P2" s="18" t="s">
        <v>10</v>
      </c>
      <c r="Q2" s="18" t="s">
        <v>95</v>
      </c>
      <c r="R2" s="18" t="s">
        <v>10</v>
      </c>
      <c r="S2" s="18" t="s">
        <v>102</v>
      </c>
      <c r="T2" s="18" t="s">
        <v>10</v>
      </c>
      <c r="U2" s="18" t="s">
        <v>17</v>
      </c>
    </row>
    <row r="3" spans="1:21">
      <c r="A3" s="19">
        <v>1</v>
      </c>
      <c r="B3" s="19" t="s">
        <v>36</v>
      </c>
      <c r="C3" s="19" t="s">
        <v>39</v>
      </c>
      <c r="D3" s="19" t="s">
        <v>33</v>
      </c>
      <c r="E3" s="19" t="s">
        <v>20</v>
      </c>
      <c r="F3" s="19" t="s">
        <v>54</v>
      </c>
      <c r="G3" s="19" t="s">
        <v>56</v>
      </c>
      <c r="H3" s="19" t="s">
        <v>22</v>
      </c>
      <c r="I3" s="19" t="s">
        <v>23</v>
      </c>
      <c r="J3" s="19" t="s">
        <v>28</v>
      </c>
      <c r="K3" s="19" t="s">
        <v>40</v>
      </c>
      <c r="L3" s="19" t="s">
        <v>37</v>
      </c>
      <c r="M3" s="19" t="s">
        <v>21</v>
      </c>
      <c r="N3" s="20" t="s">
        <v>100</v>
      </c>
      <c r="O3" s="19" t="s">
        <v>21</v>
      </c>
      <c r="P3" s="19" t="s">
        <v>101</v>
      </c>
      <c r="Q3" s="19" t="s">
        <v>98</v>
      </c>
      <c r="R3" s="19" t="s">
        <v>99</v>
      </c>
      <c r="S3" s="19" t="s">
        <v>104</v>
      </c>
      <c r="T3" s="19" t="s">
        <v>103</v>
      </c>
      <c r="U3" s="19" t="s">
        <v>57</v>
      </c>
    </row>
  </sheetData>
  <mergeCells count="1">
    <mergeCell ref="A1:U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G3"/>
  <sheetViews>
    <sheetView workbookViewId="0">
      <selection activeCell="A4" sqref="A4:XFD29"/>
    </sheetView>
  </sheetViews>
  <sheetFormatPr defaultRowHeight="14.4"/>
  <cols>
    <col min="1" max="1" width="5.109375" bestFit="1" customWidth="1"/>
    <col min="2" max="2" width="23.88671875" bestFit="1" customWidth="1"/>
    <col min="3" max="3" width="18.5546875" bestFit="1" customWidth="1"/>
    <col min="4" max="4" width="15.6640625" bestFit="1" customWidth="1"/>
    <col min="5" max="5" width="26.33203125" bestFit="1" customWidth="1"/>
    <col min="6" max="6" width="26.109375" bestFit="1" customWidth="1"/>
    <col min="7" max="7" width="18.109375" bestFit="1" customWidth="1"/>
  </cols>
  <sheetData>
    <row r="1" spans="1:7" ht="15.6">
      <c r="A1" s="127" t="s">
        <v>0</v>
      </c>
      <c r="B1" s="121"/>
      <c r="C1" s="121"/>
      <c r="D1" s="121"/>
      <c r="E1" s="121"/>
      <c r="F1" s="121"/>
    </row>
    <row r="2" spans="1:7" ht="15.6">
      <c r="A2" s="18" t="s">
        <v>2</v>
      </c>
      <c r="B2" s="18" t="s">
        <v>3</v>
      </c>
      <c r="C2" s="18" t="s">
        <v>58</v>
      </c>
      <c r="D2" s="18" t="s">
        <v>5</v>
      </c>
      <c r="E2" s="18" t="s">
        <v>125</v>
      </c>
      <c r="F2" s="18" t="s">
        <v>19</v>
      </c>
      <c r="G2" s="23"/>
    </row>
    <row r="3" spans="1:7">
      <c r="A3" s="19">
        <v>1</v>
      </c>
      <c r="B3" s="19" t="s">
        <v>36</v>
      </c>
      <c r="C3" s="19" t="s">
        <v>39</v>
      </c>
      <c r="D3" s="19" t="s">
        <v>33</v>
      </c>
      <c r="E3" s="19" t="s">
        <v>124</v>
      </c>
      <c r="F3" s="19" t="s">
        <v>126</v>
      </c>
    </row>
  </sheetData>
  <autoFilter ref="E1:E3" xr:uid="{00000000-0009-0000-0000-00000B000000}"/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V3"/>
  <sheetViews>
    <sheetView zoomScale="60" zoomScaleNormal="60" workbookViewId="0">
      <selection activeCell="V33" sqref="V33"/>
    </sheetView>
  </sheetViews>
  <sheetFormatPr defaultColWidth="9.109375" defaultRowHeight="14.4"/>
  <cols>
    <col min="1" max="1" width="6.88671875" style="1" bestFit="1" customWidth="1"/>
    <col min="2" max="2" width="26.33203125" style="1" bestFit="1" customWidth="1"/>
    <col min="3" max="3" width="22" style="1" bestFit="1" customWidth="1"/>
    <col min="4" max="4" width="18" style="1" bestFit="1" customWidth="1"/>
    <col min="5" max="5" width="14.33203125" style="1" hidden="1" customWidth="1"/>
    <col min="6" max="6" width="18.88671875" style="1" hidden="1" customWidth="1"/>
    <col min="7" max="7" width="26.88671875" style="1" hidden="1" customWidth="1"/>
    <col min="8" max="8" width="13.44140625" style="1" hidden="1" customWidth="1"/>
    <col min="9" max="9" width="11.88671875" style="1" hidden="1" customWidth="1"/>
    <col min="10" max="10" width="12.109375" style="1" hidden="1" customWidth="1"/>
    <col min="11" max="11" width="19.5546875" style="1" hidden="1" customWidth="1"/>
    <col min="12" max="12" width="24.33203125" style="1" hidden="1" customWidth="1"/>
    <col min="13" max="13" width="19.6640625" style="1" hidden="1" customWidth="1"/>
    <col min="14" max="14" width="17.44140625" style="22" hidden="1" customWidth="1"/>
    <col min="15" max="15" width="16.88671875" style="1" hidden="1" customWidth="1"/>
    <col min="16" max="16" width="17.33203125" style="1" hidden="1" customWidth="1"/>
    <col min="17" max="17" width="15.5546875" style="1" bestFit="1" customWidth="1"/>
    <col min="18" max="18" width="23" style="1" bestFit="1" customWidth="1"/>
    <col min="19" max="19" width="18.5546875" style="1" hidden="1" customWidth="1"/>
    <col min="20" max="20" width="16" style="1" hidden="1" customWidth="1"/>
    <col min="21" max="21" width="21.5546875" style="1" bestFit="1" customWidth="1"/>
    <col min="22" max="22" width="31" style="1" bestFit="1" customWidth="1"/>
    <col min="23" max="16384" width="9.109375" style="1"/>
  </cols>
  <sheetData>
    <row r="1" spans="1:22" ht="17.399999999999999">
      <c r="A1" s="128" t="s">
        <v>123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 spans="1:22" ht="15.6">
      <c r="A2" s="18" t="s">
        <v>2</v>
      </c>
      <c r="B2" s="18" t="s">
        <v>3</v>
      </c>
      <c r="C2" s="18" t="s">
        <v>58</v>
      </c>
      <c r="D2" s="18" t="s">
        <v>5</v>
      </c>
      <c r="E2" s="18" t="s">
        <v>6</v>
      </c>
      <c r="F2" s="18" t="s">
        <v>7</v>
      </c>
      <c r="G2" s="18" t="s">
        <v>10</v>
      </c>
      <c r="H2" s="18" t="s">
        <v>13</v>
      </c>
      <c r="I2" s="18" t="s">
        <v>14</v>
      </c>
      <c r="J2" s="18" t="s">
        <v>53</v>
      </c>
      <c r="K2" s="18" t="s">
        <v>96</v>
      </c>
      <c r="L2" s="18" t="s">
        <v>10</v>
      </c>
      <c r="M2" s="18" t="s">
        <v>94</v>
      </c>
      <c r="N2" s="21" t="s">
        <v>10</v>
      </c>
      <c r="O2" s="18" t="s">
        <v>93</v>
      </c>
      <c r="P2" s="18" t="s">
        <v>10</v>
      </c>
      <c r="Q2" s="18" t="s">
        <v>95</v>
      </c>
      <c r="R2" s="18" t="s">
        <v>10</v>
      </c>
      <c r="S2" s="18" t="s">
        <v>102</v>
      </c>
      <c r="T2" s="18" t="s">
        <v>10</v>
      </c>
      <c r="U2" s="18" t="s">
        <v>17</v>
      </c>
      <c r="V2" s="18" t="s">
        <v>19</v>
      </c>
    </row>
    <row r="3" spans="1:22">
      <c r="A3" s="19">
        <v>1</v>
      </c>
      <c r="B3" s="19" t="s">
        <v>36</v>
      </c>
      <c r="C3" s="19" t="s">
        <v>39</v>
      </c>
      <c r="D3" s="19" t="s">
        <v>33</v>
      </c>
      <c r="E3" s="19" t="s">
        <v>20</v>
      </c>
      <c r="F3" s="19" t="s">
        <v>54</v>
      </c>
      <c r="G3" s="19" t="s">
        <v>56</v>
      </c>
      <c r="H3" s="19" t="s">
        <v>22</v>
      </c>
      <c r="I3" s="19" t="s">
        <v>23</v>
      </c>
      <c r="J3" s="19" t="s">
        <v>28</v>
      </c>
      <c r="K3" s="19" t="s">
        <v>40</v>
      </c>
      <c r="L3" s="19" t="s">
        <v>37</v>
      </c>
      <c r="M3" s="19" t="s">
        <v>21</v>
      </c>
      <c r="N3" s="20" t="s">
        <v>100</v>
      </c>
      <c r="O3" s="19" t="s">
        <v>21</v>
      </c>
      <c r="P3" s="19" t="s">
        <v>101</v>
      </c>
      <c r="Q3" s="19" t="s">
        <v>98</v>
      </c>
      <c r="R3" s="19" t="s">
        <v>99</v>
      </c>
      <c r="S3" s="19" t="s">
        <v>104</v>
      </c>
      <c r="T3" s="19" t="s">
        <v>103</v>
      </c>
      <c r="U3" s="19" t="s">
        <v>57</v>
      </c>
      <c r="V3" s="19" t="s">
        <v>105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F4"/>
  <sheetViews>
    <sheetView topLeftCell="A2" workbookViewId="0">
      <selection activeCell="D9" sqref="D9"/>
    </sheetView>
  </sheetViews>
  <sheetFormatPr defaultColWidth="9.109375" defaultRowHeight="14.4"/>
  <cols>
    <col min="1" max="1" width="5.33203125" style="1" bestFit="1" customWidth="1"/>
    <col min="2" max="2" width="21.88671875" style="1" bestFit="1" customWidth="1"/>
    <col min="3" max="3" width="17" style="1" bestFit="1" customWidth="1"/>
    <col min="4" max="4" width="31" style="1" bestFit="1" customWidth="1"/>
    <col min="5" max="5" width="27.44140625" style="1" bestFit="1" customWidth="1"/>
    <col min="6" max="6" width="19.109375" style="1" bestFit="1" customWidth="1"/>
    <col min="7" max="16384" width="9.109375" style="1"/>
  </cols>
  <sheetData>
    <row r="1" spans="1:6">
      <c r="A1" s="129" t="s">
        <v>59</v>
      </c>
      <c r="B1" s="130"/>
      <c r="C1" s="130"/>
      <c r="D1" s="130"/>
      <c r="E1" s="130"/>
      <c r="F1" s="130"/>
    </row>
    <row r="2" spans="1:6">
      <c r="A2" s="68" t="s">
        <v>106</v>
      </c>
      <c r="B2" s="68" t="s">
        <v>3</v>
      </c>
      <c r="C2" s="68" t="s">
        <v>107</v>
      </c>
      <c r="D2" s="68" t="s">
        <v>108</v>
      </c>
      <c r="E2" s="68" t="s">
        <v>17</v>
      </c>
      <c r="F2" s="68" t="s">
        <v>19</v>
      </c>
    </row>
    <row r="3" spans="1:6">
      <c r="A3" s="15">
        <v>1</v>
      </c>
      <c r="B3" s="15" t="s">
        <v>241</v>
      </c>
      <c r="C3" s="15" t="s">
        <v>109</v>
      </c>
      <c r="D3" s="15" t="s">
        <v>111</v>
      </c>
      <c r="E3" s="15" t="s">
        <v>110</v>
      </c>
      <c r="F3" s="15" t="s">
        <v>27</v>
      </c>
    </row>
    <row r="4" spans="1:6">
      <c r="A4" s="15">
        <v>2</v>
      </c>
      <c r="B4" s="15" t="s">
        <v>241</v>
      </c>
      <c r="C4" s="15" t="s">
        <v>112</v>
      </c>
      <c r="D4" s="15" t="s">
        <v>257</v>
      </c>
      <c r="E4" s="15" t="s">
        <v>110</v>
      </c>
      <c r="F4" s="15" t="s">
        <v>27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2:F6"/>
  <sheetViews>
    <sheetView workbookViewId="0">
      <selection activeCell="F20" sqref="F20"/>
    </sheetView>
  </sheetViews>
  <sheetFormatPr defaultRowHeight="14.4"/>
  <cols>
    <col min="1" max="2" width="7.44140625" customWidth="1"/>
    <col min="3" max="3" width="22.88671875" bestFit="1" customWidth="1"/>
    <col min="4" max="4" width="24.5546875" bestFit="1" customWidth="1"/>
    <col min="5" max="5" width="12.6640625" bestFit="1" customWidth="1"/>
    <col min="6" max="6" width="11.88671875" bestFit="1" customWidth="1"/>
  </cols>
  <sheetData>
    <row r="2" spans="1:6" ht="15.6">
      <c r="A2" s="131" t="s">
        <v>0</v>
      </c>
      <c r="B2" s="131"/>
      <c r="C2" s="132"/>
      <c r="D2" s="132"/>
      <c r="E2" s="132"/>
      <c r="F2" s="132"/>
    </row>
    <row r="3" spans="1:6">
      <c r="A3" s="16"/>
      <c r="B3" s="16"/>
      <c r="C3" s="133" t="s">
        <v>120</v>
      </c>
      <c r="D3" s="133"/>
      <c r="E3" s="134" t="s">
        <v>114</v>
      </c>
      <c r="F3" s="132"/>
    </row>
    <row r="4" spans="1:6">
      <c r="A4" s="16"/>
      <c r="B4" s="16"/>
      <c r="C4" s="133" t="s">
        <v>121</v>
      </c>
      <c r="D4" s="133"/>
      <c r="E4" s="132"/>
      <c r="F4" s="132"/>
    </row>
    <row r="5" spans="1:6">
      <c r="A5" s="16" t="s">
        <v>67</v>
      </c>
      <c r="B5" s="16"/>
      <c r="C5" s="16" t="s">
        <v>8</v>
      </c>
      <c r="D5" s="16" t="s">
        <v>17</v>
      </c>
      <c r="E5" s="16" t="s">
        <v>115</v>
      </c>
      <c r="F5" s="16" t="s">
        <v>116</v>
      </c>
    </row>
    <row r="6" spans="1:6">
      <c r="A6" s="16">
        <v>1</v>
      </c>
      <c r="B6" s="16"/>
      <c r="C6" s="17" t="s">
        <v>113</v>
      </c>
      <c r="D6" s="17" t="s">
        <v>117</v>
      </c>
      <c r="E6" s="17" t="s">
        <v>118</v>
      </c>
      <c r="F6" s="17" t="s">
        <v>119</v>
      </c>
    </row>
  </sheetData>
  <mergeCells count="4">
    <mergeCell ref="A2:F2"/>
    <mergeCell ref="C3:D3"/>
    <mergeCell ref="E3:F4"/>
    <mergeCell ref="C4:D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D5"/>
  <sheetViews>
    <sheetView workbookViewId="0">
      <selection activeCell="C16" sqref="C16"/>
    </sheetView>
  </sheetViews>
  <sheetFormatPr defaultRowHeight="14.4"/>
  <cols>
    <col min="1" max="1" width="4.33203125" bestFit="1" customWidth="1"/>
    <col min="2" max="2" width="31.88671875" bestFit="1" customWidth="1"/>
    <col min="3" max="3" width="21.5546875" bestFit="1" customWidth="1"/>
    <col min="4" max="4" width="25.109375" bestFit="1" customWidth="1"/>
  </cols>
  <sheetData>
    <row r="1" spans="1:4">
      <c r="A1" s="135" t="s">
        <v>146</v>
      </c>
      <c r="B1" s="136"/>
      <c r="C1" s="136"/>
      <c r="D1" s="137"/>
    </row>
    <row r="2" spans="1:4">
      <c r="A2" s="31"/>
      <c r="B2" s="32"/>
      <c r="C2" s="32"/>
      <c r="D2" s="33"/>
    </row>
    <row r="3" spans="1:4">
      <c r="A3" s="34" t="s">
        <v>67</v>
      </c>
      <c r="B3" s="35" t="s">
        <v>147</v>
      </c>
      <c r="C3" s="35" t="s">
        <v>148</v>
      </c>
      <c r="D3" s="36" t="s">
        <v>149</v>
      </c>
    </row>
    <row r="4" spans="1:4" ht="15.6">
      <c r="A4" s="37">
        <v>5</v>
      </c>
      <c r="B4" s="37" t="s">
        <v>152</v>
      </c>
      <c r="C4" s="37" t="s">
        <v>153</v>
      </c>
      <c r="D4" s="37">
        <v>9873336827</v>
      </c>
    </row>
    <row r="5" spans="1:4" ht="15.6">
      <c r="A5" s="37">
        <v>4</v>
      </c>
      <c r="B5" s="37" t="s">
        <v>150</v>
      </c>
      <c r="C5" s="37" t="s">
        <v>151</v>
      </c>
      <c r="D5" s="37">
        <v>8754442380</v>
      </c>
    </row>
  </sheetData>
  <mergeCells count="1"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2:H7"/>
  <sheetViews>
    <sheetView workbookViewId="0">
      <selection activeCell="G13" sqref="G13"/>
    </sheetView>
  </sheetViews>
  <sheetFormatPr defaultRowHeight="14.4"/>
  <cols>
    <col min="1" max="1" width="4.6640625" bestFit="1" customWidth="1"/>
    <col min="2" max="2" width="11.44140625" bestFit="1" customWidth="1"/>
    <col min="3" max="3" width="8.6640625" bestFit="1" customWidth="1"/>
    <col min="4" max="4" width="26.33203125" style="30" bestFit="1" customWidth="1"/>
    <col min="5" max="5" width="13.33203125" bestFit="1" customWidth="1"/>
    <col min="6" max="6" width="10" bestFit="1" customWidth="1"/>
    <col min="7" max="7" width="15.88671875" bestFit="1" customWidth="1"/>
    <col min="8" max="8" width="41.6640625" bestFit="1" customWidth="1"/>
  </cols>
  <sheetData>
    <row r="2" spans="1:8" ht="18">
      <c r="A2" s="115" t="s">
        <v>0</v>
      </c>
      <c r="B2" s="115"/>
      <c r="C2" s="115"/>
      <c r="D2" s="115"/>
      <c r="E2" s="115"/>
      <c r="F2" s="115"/>
      <c r="G2" s="115"/>
      <c r="H2" s="115"/>
    </row>
    <row r="3" spans="1:8" ht="15.6">
      <c r="A3" s="6" t="s">
        <v>2</v>
      </c>
      <c r="B3" s="6" t="s">
        <v>6</v>
      </c>
      <c r="C3" s="6" t="s">
        <v>7</v>
      </c>
      <c r="D3" s="6" t="s">
        <v>10</v>
      </c>
      <c r="E3" s="6" t="s">
        <v>13</v>
      </c>
      <c r="F3" s="6" t="s">
        <v>14</v>
      </c>
      <c r="G3" s="6" t="s">
        <v>15</v>
      </c>
      <c r="H3" s="6" t="s">
        <v>19</v>
      </c>
    </row>
    <row r="4" spans="1:8">
      <c r="A4" s="15">
        <v>1</v>
      </c>
      <c r="B4" s="15" t="s">
        <v>20</v>
      </c>
      <c r="C4" s="15" t="s">
        <v>25</v>
      </c>
      <c r="D4" s="15" t="s">
        <v>140</v>
      </c>
      <c r="E4" s="15" t="s">
        <v>22</v>
      </c>
      <c r="F4" s="15" t="s">
        <v>30</v>
      </c>
      <c r="G4" s="15" t="s">
        <v>137</v>
      </c>
      <c r="H4" s="24" t="s">
        <v>27</v>
      </c>
    </row>
    <row r="5" spans="1:8">
      <c r="A5" s="15">
        <v>29</v>
      </c>
      <c r="B5" s="15" t="s">
        <v>141</v>
      </c>
      <c r="C5" s="29" t="s">
        <v>25</v>
      </c>
      <c r="D5" s="29" t="s">
        <v>139</v>
      </c>
      <c r="E5" s="15" t="s">
        <v>27</v>
      </c>
      <c r="F5" s="15" t="s">
        <v>27</v>
      </c>
      <c r="G5" s="15" t="s">
        <v>27</v>
      </c>
      <c r="H5" s="24" t="s">
        <v>142</v>
      </c>
    </row>
    <row r="6" spans="1:8">
      <c r="A6" s="15">
        <v>38</v>
      </c>
      <c r="B6" s="15" t="s">
        <v>69</v>
      </c>
      <c r="C6" s="29" t="s">
        <v>25</v>
      </c>
      <c r="D6" s="26" t="s">
        <v>143</v>
      </c>
      <c r="E6" s="15" t="s">
        <v>27</v>
      </c>
      <c r="F6" s="15" t="s">
        <v>27</v>
      </c>
      <c r="G6" s="15" t="s">
        <v>27</v>
      </c>
      <c r="H6" s="15" t="s">
        <v>144</v>
      </c>
    </row>
    <row r="7" spans="1:8">
      <c r="A7" s="15">
        <v>64</v>
      </c>
      <c r="B7" s="15" t="s">
        <v>71</v>
      </c>
      <c r="C7" s="29" t="s">
        <v>32</v>
      </c>
      <c r="D7" s="26" t="s">
        <v>145</v>
      </c>
      <c r="E7" s="15" t="s">
        <v>27</v>
      </c>
      <c r="F7" s="15" t="s">
        <v>27</v>
      </c>
      <c r="G7" s="15" t="s">
        <v>27</v>
      </c>
      <c r="H7" s="15" t="s">
        <v>27</v>
      </c>
    </row>
  </sheetData>
  <mergeCells count="1">
    <mergeCell ref="A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/>
  </sheetPr>
  <dimension ref="A2:G40"/>
  <sheetViews>
    <sheetView topLeftCell="A25" workbookViewId="0">
      <selection activeCell="C31" sqref="C1:C1048576"/>
    </sheetView>
  </sheetViews>
  <sheetFormatPr defaultColWidth="9.109375" defaultRowHeight="14.4"/>
  <cols>
    <col min="1" max="1" width="7.33203125" customWidth="1"/>
    <col min="2" max="2" width="19" customWidth="1"/>
    <col min="3" max="3" width="41.44140625" style="30" customWidth="1"/>
    <col min="4" max="4" width="17.6640625" style="30" customWidth="1"/>
    <col min="5" max="5" width="15.88671875" customWidth="1"/>
    <col min="6" max="6" width="22.109375" style="30" bestFit="1" customWidth="1"/>
    <col min="7" max="7" width="75.33203125" bestFit="1" customWidth="1"/>
  </cols>
  <sheetData>
    <row r="2" spans="1:7" ht="17.399999999999999">
      <c r="A2" s="138" t="s">
        <v>154</v>
      </c>
      <c r="B2" s="138"/>
      <c r="C2" s="138"/>
      <c r="D2" s="138"/>
      <c r="E2" s="138"/>
      <c r="F2" s="138"/>
      <c r="G2" s="138"/>
    </row>
    <row r="3" spans="1:7">
      <c r="A3" s="63" t="s">
        <v>233</v>
      </c>
      <c r="B3" s="52" t="s">
        <v>155</v>
      </c>
      <c r="C3" s="52" t="s">
        <v>156</v>
      </c>
      <c r="D3" s="52" t="s">
        <v>157</v>
      </c>
      <c r="E3" s="52" t="s">
        <v>158</v>
      </c>
      <c r="F3" s="52" t="s">
        <v>159</v>
      </c>
      <c r="G3" s="52" t="s">
        <v>8</v>
      </c>
    </row>
    <row r="4" spans="1:7">
      <c r="A4" s="11">
        <v>1</v>
      </c>
      <c r="B4" s="53" t="s">
        <v>160</v>
      </c>
      <c r="C4" s="54" t="s">
        <v>161</v>
      </c>
      <c r="D4" s="53" t="s">
        <v>162</v>
      </c>
      <c r="E4" s="38"/>
      <c r="F4" s="53" t="s">
        <v>163</v>
      </c>
      <c r="G4" s="55" t="s">
        <v>164</v>
      </c>
    </row>
    <row r="5" spans="1:7">
      <c r="A5" s="11">
        <v>2</v>
      </c>
      <c r="B5" s="53" t="s">
        <v>160</v>
      </c>
      <c r="C5" s="53" t="s">
        <v>165</v>
      </c>
      <c r="D5" s="53" t="s">
        <v>162</v>
      </c>
      <c r="E5" s="38"/>
      <c r="F5" s="53" t="s">
        <v>163</v>
      </c>
      <c r="G5" s="55" t="s">
        <v>166</v>
      </c>
    </row>
    <row r="6" spans="1:7">
      <c r="A6" s="11">
        <v>3</v>
      </c>
      <c r="B6" s="53" t="s">
        <v>167</v>
      </c>
      <c r="C6" s="53" t="s">
        <v>168</v>
      </c>
      <c r="D6" s="53" t="s">
        <v>162</v>
      </c>
      <c r="E6" s="38"/>
      <c r="F6" s="53" t="s">
        <v>163</v>
      </c>
      <c r="G6" s="55" t="s">
        <v>169</v>
      </c>
    </row>
    <row r="7" spans="1:7">
      <c r="A7" s="11">
        <v>4</v>
      </c>
      <c r="B7" s="53" t="s">
        <v>170</v>
      </c>
      <c r="C7" s="53" t="s">
        <v>171</v>
      </c>
      <c r="D7" s="53" t="s">
        <v>162</v>
      </c>
      <c r="E7" s="38"/>
      <c r="F7" s="53" t="s">
        <v>163</v>
      </c>
      <c r="G7" s="55" t="s">
        <v>27</v>
      </c>
    </row>
    <row r="8" spans="1:7">
      <c r="A8" s="11">
        <v>5</v>
      </c>
      <c r="B8" s="53" t="s">
        <v>172</v>
      </c>
      <c r="C8" s="53" t="s">
        <v>173</v>
      </c>
      <c r="D8" s="53" t="s">
        <v>162</v>
      </c>
      <c r="E8" s="38"/>
      <c r="F8" s="53" t="s">
        <v>163</v>
      </c>
      <c r="G8" s="55" t="s">
        <v>27</v>
      </c>
    </row>
    <row r="9" spans="1:7">
      <c r="A9" s="11">
        <v>6</v>
      </c>
      <c r="B9" s="53" t="s">
        <v>174</v>
      </c>
      <c r="C9" s="54" t="s">
        <v>175</v>
      </c>
      <c r="D9" s="53" t="s">
        <v>162</v>
      </c>
      <c r="E9" s="38"/>
      <c r="F9" s="53" t="s">
        <v>163</v>
      </c>
      <c r="G9" s="55" t="s">
        <v>176</v>
      </c>
    </row>
    <row r="10" spans="1:7">
      <c r="A10" s="11">
        <v>7</v>
      </c>
      <c r="B10" s="53" t="s">
        <v>160</v>
      </c>
      <c r="C10" s="53" t="s">
        <v>177</v>
      </c>
      <c r="D10" s="53" t="s">
        <v>162</v>
      </c>
      <c r="E10" s="38"/>
      <c r="F10" s="53" t="s">
        <v>163</v>
      </c>
      <c r="G10" s="55" t="s">
        <v>27</v>
      </c>
    </row>
    <row r="11" spans="1:7">
      <c r="A11" s="11">
        <v>8</v>
      </c>
      <c r="B11" s="56" t="s">
        <v>178</v>
      </c>
      <c r="C11" s="56" t="s">
        <v>179</v>
      </c>
      <c r="D11" s="56" t="s">
        <v>180</v>
      </c>
      <c r="E11" s="39"/>
      <c r="F11" s="57" t="s">
        <v>181</v>
      </c>
      <c r="G11" s="58" t="s">
        <v>182</v>
      </c>
    </row>
    <row r="12" spans="1:7">
      <c r="A12" s="11">
        <v>9</v>
      </c>
      <c r="B12" s="40" t="s">
        <v>183</v>
      </c>
      <c r="C12" s="40" t="s">
        <v>184</v>
      </c>
      <c r="D12" s="59" t="s">
        <v>180</v>
      </c>
      <c r="E12" s="41"/>
      <c r="F12" s="60" t="s">
        <v>181</v>
      </c>
      <c r="G12" s="58" t="s">
        <v>185</v>
      </c>
    </row>
    <row r="13" spans="1:7">
      <c r="A13" s="11">
        <v>10</v>
      </c>
      <c r="B13" s="56" t="s">
        <v>174</v>
      </c>
      <c r="C13" s="57" t="s">
        <v>175</v>
      </c>
      <c r="D13" s="56" t="s">
        <v>180</v>
      </c>
      <c r="E13" s="39"/>
      <c r="F13" s="57" t="s">
        <v>181</v>
      </c>
      <c r="G13" s="58" t="s">
        <v>186</v>
      </c>
    </row>
    <row r="14" spans="1:7">
      <c r="A14" s="11">
        <v>11</v>
      </c>
      <c r="B14" s="56" t="s">
        <v>187</v>
      </c>
      <c r="C14" s="57" t="s">
        <v>188</v>
      </c>
      <c r="D14" s="56" t="s">
        <v>180</v>
      </c>
      <c r="E14" s="39"/>
      <c r="F14" s="57" t="s">
        <v>181</v>
      </c>
      <c r="G14" s="58" t="s">
        <v>186</v>
      </c>
    </row>
    <row r="15" spans="1:7">
      <c r="A15" s="11">
        <v>12</v>
      </c>
      <c r="B15" s="56" t="s">
        <v>160</v>
      </c>
      <c r="C15" s="57" t="s">
        <v>189</v>
      </c>
      <c r="D15" s="56" t="s">
        <v>162</v>
      </c>
      <c r="E15" s="39"/>
      <c r="F15" s="57" t="s">
        <v>181</v>
      </c>
      <c r="G15" s="58" t="s">
        <v>190</v>
      </c>
    </row>
    <row r="16" spans="1:7">
      <c r="A16" s="11">
        <v>13</v>
      </c>
      <c r="B16" s="56" t="s">
        <v>160</v>
      </c>
      <c r="C16" s="61" t="s">
        <v>191</v>
      </c>
      <c r="D16" s="56" t="s">
        <v>162</v>
      </c>
      <c r="E16" s="39"/>
      <c r="F16" s="57" t="s">
        <v>181</v>
      </c>
      <c r="G16" s="58" t="s">
        <v>190</v>
      </c>
    </row>
    <row r="17" spans="1:7">
      <c r="A17" s="11">
        <v>14</v>
      </c>
      <c r="B17" s="56" t="s">
        <v>167</v>
      </c>
      <c r="C17" s="57" t="s">
        <v>192</v>
      </c>
      <c r="D17" s="56" t="s">
        <v>162</v>
      </c>
      <c r="E17" s="39"/>
      <c r="F17" s="57" t="s">
        <v>181</v>
      </c>
      <c r="G17" s="58" t="s">
        <v>193</v>
      </c>
    </row>
    <row r="18" spans="1:7">
      <c r="A18" s="11">
        <v>15</v>
      </c>
      <c r="B18" s="53" t="s">
        <v>194</v>
      </c>
      <c r="C18" s="52" t="s">
        <v>195</v>
      </c>
      <c r="D18" s="53" t="s">
        <v>162</v>
      </c>
      <c r="E18" s="42"/>
      <c r="F18" s="53" t="s">
        <v>196</v>
      </c>
      <c r="G18" s="55" t="s">
        <v>27</v>
      </c>
    </row>
    <row r="19" spans="1:7">
      <c r="A19" s="11">
        <v>16</v>
      </c>
      <c r="B19" s="53" t="s">
        <v>170</v>
      </c>
      <c r="C19" s="52" t="s">
        <v>197</v>
      </c>
      <c r="D19" s="53" t="s">
        <v>162</v>
      </c>
      <c r="E19" s="42"/>
      <c r="F19" s="53" t="s">
        <v>196</v>
      </c>
      <c r="G19" s="55" t="s">
        <v>27</v>
      </c>
    </row>
    <row r="20" spans="1:7">
      <c r="A20" s="11">
        <v>17</v>
      </c>
      <c r="B20" s="53" t="s">
        <v>167</v>
      </c>
      <c r="C20" s="52" t="s">
        <v>198</v>
      </c>
      <c r="D20" s="53" t="s">
        <v>162</v>
      </c>
      <c r="E20" s="42"/>
      <c r="F20" s="53" t="s">
        <v>196</v>
      </c>
      <c r="G20" s="55" t="s">
        <v>27</v>
      </c>
    </row>
    <row r="21" spans="1:7">
      <c r="A21" s="11">
        <v>18</v>
      </c>
      <c r="B21" s="53" t="s">
        <v>178</v>
      </c>
      <c r="C21" s="52" t="s">
        <v>199</v>
      </c>
      <c r="D21" s="53" t="s">
        <v>162</v>
      </c>
      <c r="E21" s="42"/>
      <c r="F21" s="53" t="s">
        <v>196</v>
      </c>
      <c r="G21" s="55" t="s">
        <v>27</v>
      </c>
    </row>
    <row r="22" spans="1:7">
      <c r="A22" s="11">
        <v>19</v>
      </c>
      <c r="B22" s="53" t="s">
        <v>187</v>
      </c>
      <c r="C22" s="52" t="s">
        <v>200</v>
      </c>
      <c r="D22" s="53" t="s">
        <v>162</v>
      </c>
      <c r="E22" s="42"/>
      <c r="F22" s="53" t="s">
        <v>196</v>
      </c>
      <c r="G22" s="55" t="s">
        <v>27</v>
      </c>
    </row>
    <row r="23" spans="1:7">
      <c r="A23" s="11">
        <v>20</v>
      </c>
      <c r="B23" s="53" t="s">
        <v>187</v>
      </c>
      <c r="C23" s="52" t="s">
        <v>201</v>
      </c>
      <c r="D23" s="53" t="s">
        <v>162</v>
      </c>
      <c r="E23" s="42"/>
      <c r="F23" s="53" t="s">
        <v>196</v>
      </c>
      <c r="G23" s="55" t="s">
        <v>27</v>
      </c>
    </row>
    <row r="24" spans="1:7">
      <c r="A24" s="11">
        <v>21</v>
      </c>
      <c r="B24" s="53" t="s">
        <v>160</v>
      </c>
      <c r="C24" s="62" t="s">
        <v>202</v>
      </c>
      <c r="D24" s="53" t="s">
        <v>162</v>
      </c>
      <c r="E24" s="42"/>
      <c r="F24" s="53" t="s">
        <v>196</v>
      </c>
      <c r="G24" s="55" t="s">
        <v>27</v>
      </c>
    </row>
    <row r="25" spans="1:7">
      <c r="A25" s="11">
        <v>22</v>
      </c>
      <c r="B25" s="53" t="s">
        <v>178</v>
      </c>
      <c r="C25" s="53" t="s">
        <v>179</v>
      </c>
      <c r="D25" s="53" t="s">
        <v>180</v>
      </c>
      <c r="E25" s="38"/>
      <c r="F25" s="53" t="s">
        <v>203</v>
      </c>
      <c r="G25" s="55" t="s">
        <v>27</v>
      </c>
    </row>
    <row r="26" spans="1:7">
      <c r="A26" s="11">
        <v>23</v>
      </c>
      <c r="B26" s="53" t="s">
        <v>167</v>
      </c>
      <c r="C26" s="53" t="s">
        <v>204</v>
      </c>
      <c r="D26" s="53" t="s">
        <v>180</v>
      </c>
      <c r="E26" s="38"/>
      <c r="F26" s="53" t="s">
        <v>203</v>
      </c>
      <c r="G26" s="55" t="s">
        <v>27</v>
      </c>
    </row>
    <row r="27" spans="1:7">
      <c r="A27" s="11">
        <v>24</v>
      </c>
      <c r="B27" s="53" t="s">
        <v>167</v>
      </c>
      <c r="C27" s="53" t="s">
        <v>204</v>
      </c>
      <c r="D27" s="53" t="s">
        <v>180</v>
      </c>
      <c r="E27" s="38"/>
      <c r="F27" s="53" t="s">
        <v>203</v>
      </c>
      <c r="G27" s="55" t="s">
        <v>27</v>
      </c>
    </row>
    <row r="28" spans="1:7">
      <c r="A28" s="11">
        <v>25</v>
      </c>
      <c r="B28" s="43" t="s">
        <v>205</v>
      </c>
      <c r="C28" s="43" t="s">
        <v>206</v>
      </c>
      <c r="D28" s="43" t="s">
        <v>207</v>
      </c>
      <c r="E28" s="44"/>
      <c r="F28" s="57" t="s">
        <v>181</v>
      </c>
      <c r="G28" s="45" t="s">
        <v>208</v>
      </c>
    </row>
    <row r="29" spans="1:7">
      <c r="A29" s="11">
        <v>26</v>
      </c>
      <c r="B29" s="43" t="s">
        <v>205</v>
      </c>
      <c r="C29" s="43" t="s">
        <v>209</v>
      </c>
      <c r="D29" s="43" t="s">
        <v>210</v>
      </c>
      <c r="E29" s="44"/>
      <c r="F29" s="57" t="s">
        <v>181</v>
      </c>
      <c r="G29" s="45" t="s">
        <v>208</v>
      </c>
    </row>
    <row r="30" spans="1:7">
      <c r="A30" s="11">
        <v>27</v>
      </c>
      <c r="B30" s="43" t="s">
        <v>205</v>
      </c>
      <c r="C30" s="43" t="s">
        <v>211</v>
      </c>
      <c r="D30" s="81" t="s">
        <v>212</v>
      </c>
      <c r="E30" s="81"/>
      <c r="F30" s="57" t="s">
        <v>181</v>
      </c>
      <c r="G30" s="45" t="s">
        <v>208</v>
      </c>
    </row>
    <row r="31" spans="1:7">
      <c r="A31" s="11">
        <v>28</v>
      </c>
      <c r="B31" s="43" t="s">
        <v>205</v>
      </c>
      <c r="C31" s="43" t="s">
        <v>213</v>
      </c>
      <c r="D31" s="43" t="s">
        <v>210</v>
      </c>
      <c r="E31" s="46"/>
      <c r="F31" s="57" t="s">
        <v>181</v>
      </c>
      <c r="G31" s="45" t="s">
        <v>208</v>
      </c>
    </row>
    <row r="32" spans="1:7">
      <c r="A32" s="11">
        <v>29</v>
      </c>
      <c r="B32" s="43" t="s">
        <v>205</v>
      </c>
      <c r="C32" s="43" t="s">
        <v>214</v>
      </c>
      <c r="D32" s="43" t="s">
        <v>210</v>
      </c>
      <c r="E32" s="46"/>
      <c r="F32" s="57" t="s">
        <v>181</v>
      </c>
      <c r="G32" s="45" t="s">
        <v>208</v>
      </c>
    </row>
    <row r="33" spans="1:7">
      <c r="A33" s="11">
        <v>30</v>
      </c>
      <c r="B33" s="43" t="s">
        <v>205</v>
      </c>
      <c r="C33" s="43" t="s">
        <v>215</v>
      </c>
      <c r="D33" s="43" t="s">
        <v>210</v>
      </c>
      <c r="E33" s="44"/>
      <c r="F33" s="57" t="s">
        <v>181</v>
      </c>
      <c r="G33" s="45" t="s">
        <v>216</v>
      </c>
    </row>
    <row r="34" spans="1:7">
      <c r="A34" s="11">
        <v>31</v>
      </c>
      <c r="B34" s="47" t="s">
        <v>205</v>
      </c>
      <c r="C34" s="47" t="s">
        <v>217</v>
      </c>
      <c r="D34" s="47" t="s">
        <v>210</v>
      </c>
      <c r="E34" s="48"/>
      <c r="F34" s="54" t="s">
        <v>27</v>
      </c>
      <c r="G34" s="47" t="s">
        <v>218</v>
      </c>
    </row>
    <row r="35" spans="1:7">
      <c r="A35" s="11">
        <v>32</v>
      </c>
      <c r="B35" s="43" t="s">
        <v>219</v>
      </c>
      <c r="C35" s="43" t="s">
        <v>220</v>
      </c>
      <c r="D35" s="43" t="s">
        <v>210</v>
      </c>
      <c r="E35" s="46"/>
      <c r="F35" s="57" t="s">
        <v>181</v>
      </c>
      <c r="G35" s="45" t="s">
        <v>221</v>
      </c>
    </row>
    <row r="36" spans="1:7">
      <c r="A36" s="11">
        <v>33</v>
      </c>
      <c r="B36" s="43" t="s">
        <v>222</v>
      </c>
      <c r="C36" s="43" t="s">
        <v>223</v>
      </c>
      <c r="D36" s="43" t="s">
        <v>210</v>
      </c>
      <c r="E36" s="44"/>
      <c r="F36" s="57" t="s">
        <v>181</v>
      </c>
      <c r="G36" s="49" t="s">
        <v>224</v>
      </c>
    </row>
    <row r="37" spans="1:7">
      <c r="A37" s="11">
        <v>34</v>
      </c>
      <c r="B37" s="43" t="s">
        <v>205</v>
      </c>
      <c r="C37" s="43" t="s">
        <v>225</v>
      </c>
      <c r="D37" s="43" t="s">
        <v>207</v>
      </c>
      <c r="E37" s="44"/>
      <c r="F37" s="43" t="s">
        <v>226</v>
      </c>
      <c r="G37" s="45" t="s">
        <v>227</v>
      </c>
    </row>
    <row r="38" spans="1:7">
      <c r="A38" s="11">
        <v>35</v>
      </c>
      <c r="B38" s="50" t="s">
        <v>205</v>
      </c>
      <c r="C38" s="43" t="s">
        <v>225</v>
      </c>
      <c r="D38" s="43" t="s">
        <v>207</v>
      </c>
      <c r="E38" s="44"/>
      <c r="F38" s="43" t="s">
        <v>226</v>
      </c>
      <c r="G38" s="51" t="s">
        <v>227</v>
      </c>
    </row>
    <row r="39" spans="1:7">
      <c r="A39" s="11">
        <v>36</v>
      </c>
      <c r="B39" s="50" t="s">
        <v>228</v>
      </c>
      <c r="C39" s="43" t="s">
        <v>229</v>
      </c>
      <c r="D39" s="43" t="s">
        <v>230</v>
      </c>
      <c r="E39" s="44"/>
      <c r="F39" s="43" t="s">
        <v>231</v>
      </c>
      <c r="G39" s="51" t="s">
        <v>231</v>
      </c>
    </row>
    <row r="40" spans="1:7">
      <c r="A40" s="11">
        <v>37</v>
      </c>
      <c r="B40" s="50" t="s">
        <v>222</v>
      </c>
      <c r="C40" s="43" t="s">
        <v>232</v>
      </c>
      <c r="D40" s="43" t="s">
        <v>230</v>
      </c>
      <c r="E40" s="44"/>
      <c r="F40" s="43" t="s">
        <v>231</v>
      </c>
      <c r="G40" s="51" t="s">
        <v>231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AGI-ACE(Ground Floor)</vt:lpstr>
      <vt:lpstr>AGI-ACE(First Floor) </vt:lpstr>
      <vt:lpstr>Sheet2</vt:lpstr>
      <vt:lpstr>Sheet1</vt:lpstr>
      <vt:lpstr>Sheet3</vt:lpstr>
      <vt:lpstr>Server</vt:lpstr>
      <vt:lpstr>Laptop</vt:lpstr>
      <vt:lpstr>school</vt:lpstr>
      <vt:lpstr>Smart class room</vt:lpstr>
      <vt:lpstr>ICT Lab</vt:lpstr>
      <vt:lpstr>Printer</vt:lpstr>
      <vt:lpstr>Stem Lab</vt:lpstr>
      <vt:lpstr>Projectors</vt:lpstr>
      <vt:lpstr>speaker</vt:lpstr>
      <vt:lpstr>Smart board and Screen</vt:lpstr>
      <vt:lpstr>ups</vt:lpstr>
      <vt:lpstr>Network Switch</vt:lpstr>
      <vt:lpstr>CCTV </vt:lpstr>
      <vt:lpstr>Vendor</vt:lpstr>
      <vt:lpstr>Under Service and Scrab</vt:lpstr>
      <vt:lpstr>AGI Mobiles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Madhankumar Dorai</cp:lastModifiedBy>
  <cp:lastPrinted>2023-06-14T07:43:08Z</cp:lastPrinted>
  <dcterms:created xsi:type="dcterms:W3CDTF">2022-08-26T09:07:52Z</dcterms:created>
  <dcterms:modified xsi:type="dcterms:W3CDTF">2023-06-16T08:39:52Z</dcterms:modified>
</cp:coreProperties>
</file>